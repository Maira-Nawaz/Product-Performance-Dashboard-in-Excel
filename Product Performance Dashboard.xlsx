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ortfolio\Excel\"/>
    </mc:Choice>
  </mc:AlternateContent>
  <xr:revisionPtr revIDLastSave="0" documentId="13_ncr:1_{A4CBB372-BEA0-48D5-B2F3-936069C1C878}" xr6:coauthVersionLast="47" xr6:coauthVersionMax="47" xr10:uidLastSave="{00000000-0000-0000-0000-000000000000}"/>
  <bookViews>
    <workbookView xWindow="-120" yWindow="-120" windowWidth="20730" windowHeight="11040" firstSheet="1" activeTab="2" xr2:uid="{FAC0A7FE-87DC-4BE7-8D82-4BD388F63938}"/>
  </bookViews>
  <sheets>
    <sheet name="Sales_Data" sheetId="1" r:id="rId1"/>
    <sheet name="Pivot Table" sheetId="3" r:id="rId2"/>
    <sheet name="Dashboard" sheetId="4" r:id="rId3"/>
  </sheets>
  <definedNames>
    <definedName name="_xlchart.v1.0" hidden="1">'Pivot Table'!$J$4</definedName>
    <definedName name="_xlchart.v1.1" hidden="1">'Pivot Table'!$J$5:$J$16</definedName>
    <definedName name="_xlchart.v1.10" hidden="1">'Pivot Table'!$O$4</definedName>
    <definedName name="_xlchart.v1.11" hidden="1">'Pivot Table'!$O$5:$O$16</definedName>
    <definedName name="_xlchart.v1.2" hidden="1">'Pivot Table'!$K$4</definedName>
    <definedName name="_xlchart.v1.3" hidden="1">'Pivot Table'!$K$5:$K$16</definedName>
    <definedName name="_xlchart.v1.4" hidden="1">'Pivot Table'!$L$4</definedName>
    <definedName name="_xlchart.v1.5" hidden="1">'Pivot Table'!$L$5:$L$16</definedName>
    <definedName name="_xlchart.v1.6" hidden="1">'Pivot Table'!$M$4</definedName>
    <definedName name="_xlchart.v1.7" hidden="1">'Pivot Table'!$M$5:$M$16</definedName>
    <definedName name="_xlchart.v1.8" hidden="1">'Pivot Table'!$N$4</definedName>
    <definedName name="_xlchart.v1.9" hidden="1">'Pivot Table'!$N$5:$N$16</definedName>
  </definedNames>
  <calcPr calcId="191029"/>
  <pivotCaches>
    <pivotCache cacheId="1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3" l="1"/>
  <c r="E23" i="3"/>
  <c r="E24" i="3"/>
  <c r="E25" i="3"/>
  <c r="E26" i="3"/>
  <c r="E21" i="3"/>
  <c r="D26" i="3"/>
  <c r="D25" i="3"/>
  <c r="D24" i="3"/>
  <c r="D23" i="3"/>
  <c r="D22" i="3"/>
  <c r="D21" i="3"/>
  <c r="C26" i="4"/>
  <c r="D26" i="4"/>
  <c r="E26" i="4"/>
  <c r="F26" i="4"/>
  <c r="G26" i="4"/>
  <c r="H26" i="4"/>
  <c r="D31" i="4"/>
  <c r="E31" i="4"/>
  <c r="F31" i="4"/>
  <c r="G31" i="4"/>
  <c r="H31" i="4"/>
  <c r="C31" i="4"/>
  <c r="D30" i="4"/>
  <c r="E30" i="4"/>
  <c r="F30" i="4"/>
  <c r="G30" i="4"/>
  <c r="H30" i="4"/>
  <c r="C30" i="4"/>
  <c r="O6" i="3"/>
  <c r="O7" i="3"/>
  <c r="O8" i="3"/>
  <c r="O9" i="3"/>
  <c r="O10" i="3"/>
  <c r="O11" i="3"/>
  <c r="O12" i="3"/>
  <c r="O13" i="3"/>
  <c r="O14" i="3"/>
  <c r="O15" i="3"/>
  <c r="O16" i="3"/>
  <c r="O5" i="3"/>
  <c r="D29" i="4"/>
  <c r="E29" i="4"/>
  <c r="F29" i="4"/>
  <c r="G29" i="4"/>
  <c r="H29" i="4"/>
  <c r="C29" i="4"/>
  <c r="D28" i="4"/>
  <c r="E28" i="4"/>
  <c r="F28" i="4"/>
  <c r="G28" i="4"/>
  <c r="H28" i="4"/>
  <c r="C28" i="4"/>
  <c r="D27" i="4"/>
  <c r="E27" i="4"/>
  <c r="F27" i="4"/>
  <c r="G27" i="4"/>
  <c r="H27" i="4"/>
  <c r="C27" i="4"/>
  <c r="G25" i="4"/>
  <c r="H25" i="4"/>
  <c r="F25" i="4"/>
  <c r="E25" i="4"/>
  <c r="D25" i="4"/>
  <c r="C25" i="4"/>
  <c r="J4" i="3"/>
  <c r="K4" i="3"/>
  <c r="L4" i="3"/>
  <c r="M4" i="3"/>
  <c r="N4" i="3"/>
  <c r="O4" i="3"/>
  <c r="N6" i="3"/>
  <c r="N7" i="3"/>
  <c r="N8" i="3"/>
  <c r="N9" i="3"/>
  <c r="N10" i="3"/>
  <c r="N11" i="3"/>
  <c r="N12" i="3"/>
  <c r="N13" i="3"/>
  <c r="N14" i="3"/>
  <c r="N15" i="3"/>
  <c r="N16" i="3"/>
  <c r="N5" i="3"/>
  <c r="M6" i="3"/>
  <c r="M7" i="3"/>
  <c r="M8" i="3"/>
  <c r="M9" i="3"/>
  <c r="M10" i="3"/>
  <c r="M11" i="3"/>
  <c r="M12" i="3"/>
  <c r="M13" i="3"/>
  <c r="M14" i="3"/>
  <c r="M15" i="3"/>
  <c r="M16" i="3"/>
  <c r="M5" i="3"/>
  <c r="L6" i="3"/>
  <c r="L7" i="3"/>
  <c r="L8" i="3"/>
  <c r="L9" i="3"/>
  <c r="L10" i="3"/>
  <c r="L11" i="3"/>
  <c r="L12" i="3"/>
  <c r="L13" i="3"/>
  <c r="L14" i="3"/>
  <c r="L15" i="3"/>
  <c r="L16" i="3"/>
  <c r="L5" i="3"/>
  <c r="K6" i="3"/>
  <c r="K7" i="3"/>
  <c r="K8" i="3"/>
  <c r="K9" i="3"/>
  <c r="K10" i="3"/>
  <c r="K11" i="3"/>
  <c r="K12" i="3"/>
  <c r="K13" i="3"/>
  <c r="K14" i="3"/>
  <c r="K15" i="3"/>
  <c r="K16" i="3"/>
  <c r="K5" i="3"/>
  <c r="J6" i="3"/>
  <c r="J7" i="3"/>
  <c r="J8" i="3"/>
  <c r="J9" i="3"/>
  <c r="J10" i="3"/>
  <c r="J11" i="3"/>
  <c r="J12" i="3"/>
  <c r="J13" i="3"/>
  <c r="J14" i="3"/>
  <c r="J15" i="3"/>
  <c r="J16" i="3"/>
  <c r="J5" i="3"/>
</calcChain>
</file>

<file path=xl/sharedStrings.xml><?xml version="1.0" encoding="utf-8"?>
<sst xmlns="http://schemas.openxmlformats.org/spreadsheetml/2006/main" count="1156" uniqueCount="165">
  <si>
    <t>Customer_ID</t>
  </si>
  <si>
    <t>Product_ID</t>
  </si>
  <si>
    <t>Sales</t>
  </si>
  <si>
    <t>Gross Profit</t>
  </si>
  <si>
    <t>Date</t>
  </si>
  <si>
    <t>Month</t>
  </si>
  <si>
    <t>Quarter</t>
  </si>
  <si>
    <t>Year</t>
  </si>
  <si>
    <t>Country</t>
  </si>
  <si>
    <t>Customer Satisfaction Rating</t>
  </si>
  <si>
    <t>CUST_ID_001</t>
  </si>
  <si>
    <t>PROD_ID_01</t>
  </si>
  <si>
    <t>Sep</t>
  </si>
  <si>
    <t>Q3</t>
  </si>
  <si>
    <t>USA</t>
  </si>
  <si>
    <t>Very Satisfied</t>
  </si>
  <si>
    <t>CUST_ID_002</t>
  </si>
  <si>
    <t>PROD_ID_02</t>
  </si>
  <si>
    <t>Jan</t>
  </si>
  <si>
    <t>Q1</t>
  </si>
  <si>
    <t>Canada</t>
  </si>
  <si>
    <t>CUST_ID_003</t>
  </si>
  <si>
    <t>England</t>
  </si>
  <si>
    <t>Neutral</t>
  </si>
  <si>
    <t>CUST_ID_004</t>
  </si>
  <si>
    <t>Aug</t>
  </si>
  <si>
    <t>France</t>
  </si>
  <si>
    <t>Satisfied</t>
  </si>
  <si>
    <t>CUST_ID_005</t>
  </si>
  <si>
    <t>Jul</t>
  </si>
  <si>
    <t>Germany</t>
  </si>
  <si>
    <t>CUST_ID_006</t>
  </si>
  <si>
    <t>Italy</t>
  </si>
  <si>
    <t>CUST_ID_007</t>
  </si>
  <si>
    <t>PROD_ID_03</t>
  </si>
  <si>
    <t>India</t>
  </si>
  <si>
    <t>Dec</t>
  </si>
  <si>
    <t>Dissatisfied</t>
  </si>
  <si>
    <t>CUST_ID_008</t>
  </si>
  <si>
    <t>PROD_ID_04</t>
  </si>
  <si>
    <t>Feb</t>
  </si>
  <si>
    <t>Japan</t>
  </si>
  <si>
    <t>May</t>
  </si>
  <si>
    <t>Nov</t>
  </si>
  <si>
    <t>CUST_ID_009</t>
  </si>
  <si>
    <t>PROD_ID_05</t>
  </si>
  <si>
    <t>CUST_ID_010</t>
  </si>
  <si>
    <t>Apr</t>
  </si>
  <si>
    <t>Q2</t>
  </si>
  <si>
    <t>CUST_ID_011</t>
  </si>
  <si>
    <t>Q4</t>
  </si>
  <si>
    <t>CUST_ID_012</t>
  </si>
  <si>
    <t>CUST_ID_013</t>
  </si>
  <si>
    <t>CUST_ID_014</t>
  </si>
  <si>
    <t>CUST_ID_015</t>
  </si>
  <si>
    <t>Mar</t>
  </si>
  <si>
    <t>CUST_ID_016</t>
  </si>
  <si>
    <t>Oct</t>
  </si>
  <si>
    <t>CUST_ID_017</t>
  </si>
  <si>
    <t>Very Dissatisfied</t>
  </si>
  <si>
    <t>CUST_ID_018</t>
  </si>
  <si>
    <t>PROD_ID_06</t>
  </si>
  <si>
    <t>CUST_ID_019</t>
  </si>
  <si>
    <t>CUST_ID_020</t>
  </si>
  <si>
    <t>CUST_ID_021</t>
  </si>
  <si>
    <t>CUST_ID_022</t>
  </si>
  <si>
    <t>CUST_ID_023</t>
  </si>
  <si>
    <t>CUST_ID_024</t>
  </si>
  <si>
    <t>CUST_ID_025</t>
  </si>
  <si>
    <t>CUST_ID_026</t>
  </si>
  <si>
    <t>CUST_ID_027</t>
  </si>
  <si>
    <t>CUST_ID_028</t>
  </si>
  <si>
    <t>CUST_ID_029</t>
  </si>
  <si>
    <t>CUST_ID_030</t>
  </si>
  <si>
    <t>CUST_ID_031</t>
  </si>
  <si>
    <t>CUST_ID_032</t>
  </si>
  <si>
    <t>CUST_ID_033</t>
  </si>
  <si>
    <t>CUST_ID_034</t>
  </si>
  <si>
    <t>CUST_ID_035</t>
  </si>
  <si>
    <t>CUST_ID_036</t>
  </si>
  <si>
    <t>CUST_ID_037</t>
  </si>
  <si>
    <t>CUST_ID_038</t>
  </si>
  <si>
    <t>CUST_ID_039</t>
  </si>
  <si>
    <t>CUST_ID_040</t>
  </si>
  <si>
    <t>CUST_ID_041</t>
  </si>
  <si>
    <t>CUST_ID_042</t>
  </si>
  <si>
    <t>CUST_ID_043</t>
  </si>
  <si>
    <t>CUST_ID_044</t>
  </si>
  <si>
    <t>Jun</t>
  </si>
  <si>
    <t>CUST_ID_045</t>
  </si>
  <si>
    <t>CUST_ID_046</t>
  </si>
  <si>
    <t>CUST_ID_047</t>
  </si>
  <si>
    <t>CUST_ID_048</t>
  </si>
  <si>
    <t>CUST_ID_049</t>
  </si>
  <si>
    <t>CUST_ID_050</t>
  </si>
  <si>
    <t>CUST_ID_051</t>
  </si>
  <si>
    <t>CUST_ID_052</t>
  </si>
  <si>
    <t>CUST_ID_053</t>
  </si>
  <si>
    <t>CUST_ID_054</t>
  </si>
  <si>
    <t>CUST_ID_055</t>
  </si>
  <si>
    <t>CUST_ID_056</t>
  </si>
  <si>
    <t>CUST_ID_057</t>
  </si>
  <si>
    <t>CUST_ID_058</t>
  </si>
  <si>
    <t>CUST_ID_059</t>
  </si>
  <si>
    <t>CUST_ID_060</t>
  </si>
  <si>
    <t>CUST_ID_061</t>
  </si>
  <si>
    <t>CUST_ID_062</t>
  </si>
  <si>
    <t>CUST_ID_063</t>
  </si>
  <si>
    <t>CUST_ID_064</t>
  </si>
  <si>
    <t>CUST_ID_065</t>
  </si>
  <si>
    <t>CUST_ID_066</t>
  </si>
  <si>
    <t>CUST_ID_067</t>
  </si>
  <si>
    <t>CUST_ID_068</t>
  </si>
  <si>
    <t>CUST_ID_069</t>
  </si>
  <si>
    <t>CUST_ID_070</t>
  </si>
  <si>
    <t>CUST_ID_071</t>
  </si>
  <si>
    <t>CUST_ID_072</t>
  </si>
  <si>
    <t>CUST_ID_073</t>
  </si>
  <si>
    <t>CUST_ID_074</t>
  </si>
  <si>
    <t>CUST_ID_075</t>
  </si>
  <si>
    <t>CUST_ID_076</t>
  </si>
  <si>
    <t>CUST_ID_077</t>
  </si>
  <si>
    <t>CUST_ID_078</t>
  </si>
  <si>
    <t>CUST_ID_079</t>
  </si>
  <si>
    <t>CUST_ID_080</t>
  </si>
  <si>
    <t>CUST_ID_081</t>
  </si>
  <si>
    <t>CUST_ID_082</t>
  </si>
  <si>
    <t>CUST_ID_083</t>
  </si>
  <si>
    <t>CUST_ID_084</t>
  </si>
  <si>
    <t>CUST_ID_085</t>
  </si>
  <si>
    <t>CUST_ID_086</t>
  </si>
  <si>
    <t>CUST_ID_087</t>
  </si>
  <si>
    <t>CUST_ID_088</t>
  </si>
  <si>
    <t>CUST_ID_089</t>
  </si>
  <si>
    <t>CUST_ID_090</t>
  </si>
  <si>
    <t>CUST_ID_091</t>
  </si>
  <si>
    <t>CUST_ID_092</t>
  </si>
  <si>
    <t>CUST_ID_093</t>
  </si>
  <si>
    <t>CUST_ID_094</t>
  </si>
  <si>
    <t>CUST_ID_095</t>
  </si>
  <si>
    <t>CUST_ID_096</t>
  </si>
  <si>
    <t>CUST_ID_097</t>
  </si>
  <si>
    <t>CUST_ID_098</t>
  </si>
  <si>
    <t>CUST_ID_099</t>
  </si>
  <si>
    <t>CUST_ID_100</t>
  </si>
  <si>
    <t>CUST_ID_101</t>
  </si>
  <si>
    <t>CUST_ID_102</t>
  </si>
  <si>
    <t>CUST_ID_103</t>
  </si>
  <si>
    <t>CUST_ID_104</t>
  </si>
  <si>
    <t>CUST_ID_105</t>
  </si>
  <si>
    <t>Column Labels</t>
  </si>
  <si>
    <t>Sum of Sales</t>
  </si>
  <si>
    <t>Months</t>
  </si>
  <si>
    <t>Mean Sales</t>
  </si>
  <si>
    <t>Median Sales</t>
  </si>
  <si>
    <t>Max Sales</t>
  </si>
  <si>
    <t>Min Sales</t>
  </si>
  <si>
    <t>Quartile 1</t>
  </si>
  <si>
    <t>Quartile 3</t>
  </si>
  <si>
    <t>Sum of Gross Profit</t>
  </si>
  <si>
    <t>Gross Profit Margin(GPM)</t>
  </si>
  <si>
    <t>1-GPM</t>
  </si>
  <si>
    <t>Count of Customer Satisfaction Rating</t>
  </si>
  <si>
    <r>
      <rPr>
        <b/>
        <sz val="11"/>
        <color theme="5"/>
        <rFont val="Calibri"/>
        <family val="2"/>
        <scheme val="minor"/>
      </rPr>
      <t>Profit_ID_01</t>
    </r>
    <r>
      <rPr>
        <sz val="11"/>
        <color theme="1"/>
        <rFont val="Calibri"/>
        <family val="2"/>
        <scheme val="minor"/>
      </rPr>
      <t xml:space="preserve"> has the </t>
    </r>
    <r>
      <rPr>
        <b/>
        <sz val="11"/>
        <color theme="4"/>
        <rFont val="Calibri"/>
        <family val="2"/>
        <scheme val="minor"/>
      </rPr>
      <t>lowest</t>
    </r>
    <r>
      <rPr>
        <sz val="11"/>
        <color theme="1"/>
        <rFont val="Calibri"/>
        <family val="2"/>
        <scheme val="minor"/>
      </rPr>
      <t xml:space="preserve"> Profit Margin</t>
    </r>
  </si>
  <si>
    <r>
      <rPr>
        <b/>
        <sz val="11"/>
        <color theme="4"/>
        <rFont val="Calibri"/>
        <family val="2"/>
        <scheme val="minor"/>
      </rPr>
      <t>Profit_ID_06</t>
    </r>
    <r>
      <rPr>
        <sz val="11"/>
        <color theme="1"/>
        <rFont val="Calibri"/>
        <family val="2"/>
        <scheme val="minor"/>
      </rPr>
      <t xml:space="preserve"> has the </t>
    </r>
    <r>
      <rPr>
        <b/>
        <sz val="11"/>
        <color theme="5"/>
        <rFont val="Calibri"/>
        <family val="2"/>
        <scheme val="minor"/>
      </rPr>
      <t>highest</t>
    </r>
    <r>
      <rPr>
        <sz val="11"/>
        <color theme="1"/>
        <rFont val="Calibri"/>
        <family val="2"/>
        <scheme val="minor"/>
      </rPr>
      <t xml:space="preserve"> Profit Margin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</si>
</sst>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2" borderId="0" xfId="0" applyFont="1" applyFill="1" applyAlignment="1">
      <alignment horizontal="left" indent="1"/>
    </xf>
    <xf numFmtId="0" fontId="2" fillId="2" borderId="0" xfId="0" applyFont="1" applyFill="1"/>
    <xf numFmtId="0" fontId="0" fillId="0" borderId="0" xfId="0" applyAlignment="1">
      <alignment horizontal="left" indent="1"/>
    </xf>
    <xf numFmtId="164" fontId="0" fillId="0" borderId="0" xfId="1" applyFont="1"/>
    <xf numFmtId="14" fontId="0" fillId="0" borderId="0" xfId="0" applyNumberFormat="1"/>
    <xf numFmtId="164" fontId="0" fillId="0" borderId="0" xfId="1" applyFont="1" applyFill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3" borderId="0" xfId="0" applyFill="1"/>
    <xf numFmtId="0" fontId="0" fillId="4" borderId="0" xfId="0" applyFill="1"/>
    <xf numFmtId="0" fontId="0" fillId="2" borderId="0" xfId="0" applyFill="1"/>
    <xf numFmtId="0" fontId="3" fillId="5" borderId="0" xfId="0" applyFont="1" applyFill="1"/>
    <xf numFmtId="0" fontId="0" fillId="6" borderId="0" xfId="0" applyFill="1"/>
    <xf numFmtId="0" fontId="0" fillId="7" borderId="0" xfId="0" applyFill="1"/>
    <xf numFmtId="3" fontId="0" fillId="0" borderId="0" xfId="0" applyNumberFormat="1"/>
    <xf numFmtId="0" fontId="2" fillId="0" borderId="0" xfId="0" applyFont="1"/>
    <xf numFmtId="0" fontId="4" fillId="0" borderId="0" xfId="0" applyFont="1"/>
    <xf numFmtId="9" fontId="0" fillId="0" borderId="0" xfId="2" applyFont="1"/>
    <xf numFmtId="9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11">
    <dxf>
      <numFmt numFmtId="13" formatCode="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lef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'Pivot Table'!$D$20:$E$20</c:f>
              <c:strCache>
                <c:ptCount val="2"/>
                <c:pt idx="0">
                  <c:v>Gross Profit Margin(GPM)</c:v>
                </c:pt>
                <c:pt idx="1">
                  <c:v>1-GPM</c:v>
                </c:pt>
              </c:strCache>
            </c:strRef>
          </c:cat>
          <c:val>
            <c:numRef>
              <c:f>'Pivot Table'!$D$21:$E$21</c:f>
              <c:numCache>
                <c:formatCode>0%</c:formatCode>
                <c:ptCount val="2"/>
                <c:pt idx="0">
                  <c:v>0.39999869811809452</c:v>
                </c:pt>
                <c:pt idx="1">
                  <c:v>0.60000130188190548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2C-4F6F-9A4B-86C85F0818F5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'Pivot Table'!$D$20:$E$20</c:f>
              <c:strCache>
                <c:ptCount val="2"/>
                <c:pt idx="0">
                  <c:v>Gross Profit Margin(GPM)</c:v>
                </c:pt>
                <c:pt idx="1">
                  <c:v>1-GPM</c:v>
                </c:pt>
              </c:strCache>
            </c:strRef>
          </c:cat>
          <c:val>
            <c:numRef>
              <c:f>'Pivot Table'!$D$22:$E$22</c:f>
              <c:numCache>
                <c:formatCode>0%</c:formatCode>
                <c:ptCount val="2"/>
                <c:pt idx="0">
                  <c:v>0.49999992307363395</c:v>
                </c:pt>
                <c:pt idx="1">
                  <c:v>0.50000007692636605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2C-4F6F-9A4B-86C85F0818F5}"/>
            </c:ext>
          </c:extLst>
        </c:ser>
        <c:ser>
          <c:idx val="2"/>
          <c:order val="2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'Pivot Table'!$D$20:$E$20</c:f>
              <c:strCache>
                <c:ptCount val="2"/>
                <c:pt idx="0">
                  <c:v>Gross Profit Margin(GPM)</c:v>
                </c:pt>
                <c:pt idx="1">
                  <c:v>1-GPM</c:v>
                </c:pt>
              </c:strCache>
            </c:strRef>
          </c:cat>
          <c:val>
            <c:numRef>
              <c:f>'Pivot Table'!$D$23:$E$23</c:f>
              <c:numCache>
                <c:formatCode>0%</c:formatCode>
                <c:ptCount val="2"/>
                <c:pt idx="0">
                  <c:v>0.5999999866521597</c:v>
                </c:pt>
                <c:pt idx="1">
                  <c:v>0.4000000133478403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2C-4F6F-9A4B-86C85F0818F5}"/>
            </c:ext>
          </c:extLst>
        </c:ser>
        <c:ser>
          <c:idx val="3"/>
          <c:order val="3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'Pivot Table'!$D$20:$E$20</c:f>
              <c:strCache>
                <c:ptCount val="2"/>
                <c:pt idx="0">
                  <c:v>Gross Profit Margin(GPM)</c:v>
                </c:pt>
                <c:pt idx="1">
                  <c:v>1-GPM</c:v>
                </c:pt>
              </c:strCache>
            </c:strRef>
          </c:cat>
          <c:val>
            <c:numRef>
              <c:f>'Pivot Table'!$D$24:$E$24</c:f>
              <c:numCache>
                <c:formatCode>0%</c:formatCode>
                <c:ptCount val="2"/>
                <c:pt idx="0">
                  <c:v>0.70000003441396486</c:v>
                </c:pt>
                <c:pt idx="1">
                  <c:v>0.29999996558603514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F2C-4F6F-9A4B-86C85F0818F5}"/>
            </c:ext>
          </c:extLst>
        </c:ser>
        <c:ser>
          <c:idx val="4"/>
          <c:order val="4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'Pivot Table'!$D$20:$E$20</c:f>
              <c:strCache>
                <c:ptCount val="2"/>
                <c:pt idx="0">
                  <c:v>Gross Profit Margin(GPM)</c:v>
                </c:pt>
                <c:pt idx="1">
                  <c:v>1-GPM</c:v>
                </c:pt>
              </c:strCache>
            </c:strRef>
          </c:cat>
          <c:val>
            <c:numRef>
              <c:f>'Pivot Table'!$D$25:$E$25</c:f>
              <c:numCache>
                <c:formatCode>0%</c:formatCode>
                <c:ptCount val="2"/>
                <c:pt idx="0">
                  <c:v>0.75000019898446391</c:v>
                </c:pt>
                <c:pt idx="1">
                  <c:v>0.24999980101553609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F2C-4F6F-9A4B-86C85F0818F5}"/>
            </c:ext>
          </c:extLst>
        </c:ser>
        <c:ser>
          <c:idx val="5"/>
          <c:order val="5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'Pivot Table'!$D$20:$E$20</c:f>
              <c:strCache>
                <c:ptCount val="2"/>
                <c:pt idx="0">
                  <c:v>Gross Profit Margin(GPM)</c:v>
                </c:pt>
                <c:pt idx="1">
                  <c:v>1-GPM</c:v>
                </c:pt>
              </c:strCache>
            </c:strRef>
          </c:cat>
          <c:val>
            <c:numRef>
              <c:f>'Pivot Table'!$D$26:$E$26</c:f>
              <c:numCache>
                <c:formatCode>0%</c:formatCode>
                <c:ptCount val="2"/>
                <c:pt idx="0">
                  <c:v>0.80000004093183508</c:v>
                </c:pt>
                <c:pt idx="1">
                  <c:v>0.19999995906816492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F2C-4F6F-9A4B-86C85F0818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 Performance Dashboard.xlsx]Pivot Table!PivotTable11</c:name>
    <c:fmtId val="1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'Pivot Table'!$B$33:$B$34</c:f>
              <c:strCache>
                <c:ptCount val="1"/>
                <c:pt idx="0">
                  <c:v>Dissatisfied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Table'!$A$35:$A$40</c:f>
              <c:strCache>
                <c:ptCount val="6"/>
                <c:pt idx="0">
                  <c:v>PROD_ID_01</c:v>
                </c:pt>
                <c:pt idx="1">
                  <c:v>PROD_ID_02</c:v>
                </c:pt>
                <c:pt idx="2">
                  <c:v>PROD_ID_03</c:v>
                </c:pt>
                <c:pt idx="3">
                  <c:v>PROD_ID_04</c:v>
                </c:pt>
                <c:pt idx="4">
                  <c:v>PROD_ID_05</c:v>
                </c:pt>
                <c:pt idx="5">
                  <c:v>PROD_ID_06</c:v>
                </c:pt>
              </c:strCache>
            </c:strRef>
          </c:cat>
          <c:val>
            <c:numRef>
              <c:f>'Pivot Table'!$B$35:$B$40</c:f>
              <c:numCache>
                <c:formatCode>0%</c:formatCode>
                <c:ptCount val="6"/>
                <c:pt idx="0">
                  <c:v>8.3333333333333329E-2</c:v>
                </c:pt>
                <c:pt idx="1">
                  <c:v>0.33333333333333331</c:v>
                </c:pt>
                <c:pt idx="2">
                  <c:v>8.3333333333333329E-2</c:v>
                </c:pt>
                <c:pt idx="3">
                  <c:v>0.16666666666666666</c:v>
                </c:pt>
                <c:pt idx="4">
                  <c:v>0.20833333333333334</c:v>
                </c:pt>
                <c:pt idx="5">
                  <c:v>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45-4513-8E28-B463DFFCB5FF}"/>
            </c:ext>
          </c:extLst>
        </c:ser>
        <c:ser>
          <c:idx val="1"/>
          <c:order val="1"/>
          <c:tx>
            <c:strRef>
              <c:f>'Pivot Table'!$C$33:$C$34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Table'!$A$35:$A$40</c:f>
              <c:strCache>
                <c:ptCount val="6"/>
                <c:pt idx="0">
                  <c:v>PROD_ID_01</c:v>
                </c:pt>
                <c:pt idx="1">
                  <c:v>PROD_ID_02</c:v>
                </c:pt>
                <c:pt idx="2">
                  <c:v>PROD_ID_03</c:v>
                </c:pt>
                <c:pt idx="3">
                  <c:v>PROD_ID_04</c:v>
                </c:pt>
                <c:pt idx="4">
                  <c:v>PROD_ID_05</c:v>
                </c:pt>
                <c:pt idx="5">
                  <c:v>PROD_ID_06</c:v>
                </c:pt>
              </c:strCache>
            </c:strRef>
          </c:cat>
          <c:val>
            <c:numRef>
              <c:f>'Pivot Table'!$C$35:$C$40</c:f>
              <c:numCache>
                <c:formatCode>0%</c:formatCode>
                <c:ptCount val="6"/>
                <c:pt idx="0">
                  <c:v>0.1111111111111111</c:v>
                </c:pt>
                <c:pt idx="1">
                  <c:v>0.29629629629629628</c:v>
                </c:pt>
                <c:pt idx="2">
                  <c:v>0.22222222222222221</c:v>
                </c:pt>
                <c:pt idx="3">
                  <c:v>0.1111111111111111</c:v>
                </c:pt>
                <c:pt idx="4">
                  <c:v>0.14814814814814814</c:v>
                </c:pt>
                <c:pt idx="5">
                  <c:v>0.1111111111111111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45-4513-8E28-B463DFFCB5FF}"/>
            </c:ext>
          </c:extLst>
        </c:ser>
        <c:ser>
          <c:idx val="2"/>
          <c:order val="2"/>
          <c:tx>
            <c:strRef>
              <c:f>'Pivot Table'!$D$33:$D$34</c:f>
              <c:strCache>
                <c:ptCount val="1"/>
                <c:pt idx="0">
                  <c:v>Satisfied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Table'!$A$35:$A$40</c:f>
              <c:strCache>
                <c:ptCount val="6"/>
                <c:pt idx="0">
                  <c:v>PROD_ID_01</c:v>
                </c:pt>
                <c:pt idx="1">
                  <c:v>PROD_ID_02</c:v>
                </c:pt>
                <c:pt idx="2">
                  <c:v>PROD_ID_03</c:v>
                </c:pt>
                <c:pt idx="3">
                  <c:v>PROD_ID_04</c:v>
                </c:pt>
                <c:pt idx="4">
                  <c:v>PROD_ID_05</c:v>
                </c:pt>
                <c:pt idx="5">
                  <c:v>PROD_ID_06</c:v>
                </c:pt>
              </c:strCache>
            </c:strRef>
          </c:cat>
          <c:val>
            <c:numRef>
              <c:f>'Pivot Table'!$D$35:$D$40</c:f>
              <c:numCache>
                <c:formatCode>0%</c:formatCode>
                <c:ptCount val="6"/>
                <c:pt idx="0">
                  <c:v>0.16666666666666666</c:v>
                </c:pt>
                <c:pt idx="1">
                  <c:v>0.25</c:v>
                </c:pt>
                <c:pt idx="2">
                  <c:v>0.125</c:v>
                </c:pt>
                <c:pt idx="3">
                  <c:v>0.1875</c:v>
                </c:pt>
                <c:pt idx="4">
                  <c:v>0.125</c:v>
                </c:pt>
                <c:pt idx="5">
                  <c:v>0.14583333333333334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45-4513-8E28-B463DFFCB5FF}"/>
            </c:ext>
          </c:extLst>
        </c:ser>
        <c:ser>
          <c:idx val="3"/>
          <c:order val="3"/>
          <c:tx>
            <c:strRef>
              <c:f>'Pivot Table'!$E$33:$E$34</c:f>
              <c:strCache>
                <c:ptCount val="1"/>
                <c:pt idx="0">
                  <c:v>Very Dissatisfied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Table'!$A$35:$A$40</c:f>
              <c:strCache>
                <c:ptCount val="6"/>
                <c:pt idx="0">
                  <c:v>PROD_ID_01</c:v>
                </c:pt>
                <c:pt idx="1">
                  <c:v>PROD_ID_02</c:v>
                </c:pt>
                <c:pt idx="2">
                  <c:v>PROD_ID_03</c:v>
                </c:pt>
                <c:pt idx="3">
                  <c:v>PROD_ID_04</c:v>
                </c:pt>
                <c:pt idx="4">
                  <c:v>PROD_ID_05</c:v>
                </c:pt>
                <c:pt idx="5">
                  <c:v>PROD_ID_06</c:v>
                </c:pt>
              </c:strCache>
            </c:strRef>
          </c:cat>
          <c:val>
            <c:numRef>
              <c:f>'Pivot Table'!$E$35:$E$40</c:f>
              <c:numCache>
                <c:formatCode>0%</c:formatCode>
                <c:ptCount val="6"/>
                <c:pt idx="0">
                  <c:v>0.1</c:v>
                </c:pt>
                <c:pt idx="1">
                  <c:v>0.3</c:v>
                </c:pt>
                <c:pt idx="2">
                  <c:v>0.15</c:v>
                </c:pt>
                <c:pt idx="3">
                  <c:v>0.1</c:v>
                </c:pt>
                <c:pt idx="4">
                  <c:v>0.1</c:v>
                </c:pt>
                <c:pt idx="5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945-4513-8E28-B463DFFCB5FF}"/>
            </c:ext>
          </c:extLst>
        </c:ser>
        <c:ser>
          <c:idx val="4"/>
          <c:order val="4"/>
          <c:tx>
            <c:strRef>
              <c:f>'Pivot Table'!$F$33:$F$34</c:f>
              <c:strCache>
                <c:ptCount val="1"/>
                <c:pt idx="0">
                  <c:v>Very Satisfied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Table'!$A$35:$A$40</c:f>
              <c:strCache>
                <c:ptCount val="6"/>
                <c:pt idx="0">
                  <c:v>PROD_ID_01</c:v>
                </c:pt>
                <c:pt idx="1">
                  <c:v>PROD_ID_02</c:v>
                </c:pt>
                <c:pt idx="2">
                  <c:v>PROD_ID_03</c:v>
                </c:pt>
                <c:pt idx="3">
                  <c:v>PROD_ID_04</c:v>
                </c:pt>
                <c:pt idx="4">
                  <c:v>PROD_ID_05</c:v>
                </c:pt>
                <c:pt idx="5">
                  <c:v>PROD_ID_06</c:v>
                </c:pt>
              </c:strCache>
            </c:strRef>
          </c:cat>
          <c:val>
            <c:numRef>
              <c:f>'Pivot Table'!$F$35:$F$40</c:f>
              <c:numCache>
                <c:formatCode>0%</c:formatCode>
                <c:ptCount val="6"/>
                <c:pt idx="0">
                  <c:v>0.12698412698412698</c:v>
                </c:pt>
                <c:pt idx="1">
                  <c:v>0.26984126984126983</c:v>
                </c:pt>
                <c:pt idx="2">
                  <c:v>0.17460317460317459</c:v>
                </c:pt>
                <c:pt idx="3">
                  <c:v>0.20634920634920634</c:v>
                </c:pt>
                <c:pt idx="4">
                  <c:v>0.1111111111111111</c:v>
                </c:pt>
                <c:pt idx="5">
                  <c:v>0.1111111111111111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945-4513-8E28-B463DFFCB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1277760"/>
        <c:axId val="501278240"/>
      </c:barChart>
      <c:catAx>
        <c:axId val="501277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278240"/>
        <c:crosses val="autoZero"/>
        <c:auto val="1"/>
        <c:lblAlgn val="ctr"/>
        <c:lblOffset val="100"/>
        <c:noMultiLvlLbl val="0"/>
      </c:catAx>
      <c:valAx>
        <c:axId val="501278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277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 Performance Dashboard.xlsx]Pivot Table!PivotTable11</c:name>
    <c:fmtId val="1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991541119258305"/>
          <c:y val="4.7159699892818867E-2"/>
          <c:w val="0.72889780191856213"/>
          <c:h val="0.80909599781544539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'Pivot Table'!$B$33:$B$34</c:f>
              <c:strCache>
                <c:ptCount val="1"/>
                <c:pt idx="0">
                  <c:v>Dissatisfied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Table'!$A$35:$A$40</c:f>
              <c:strCache>
                <c:ptCount val="6"/>
                <c:pt idx="0">
                  <c:v>PROD_ID_01</c:v>
                </c:pt>
                <c:pt idx="1">
                  <c:v>PROD_ID_02</c:v>
                </c:pt>
                <c:pt idx="2">
                  <c:v>PROD_ID_03</c:v>
                </c:pt>
                <c:pt idx="3">
                  <c:v>PROD_ID_04</c:v>
                </c:pt>
                <c:pt idx="4">
                  <c:v>PROD_ID_05</c:v>
                </c:pt>
                <c:pt idx="5">
                  <c:v>PROD_ID_06</c:v>
                </c:pt>
              </c:strCache>
            </c:strRef>
          </c:cat>
          <c:val>
            <c:numRef>
              <c:f>'Pivot Table'!$B$35:$B$40</c:f>
              <c:numCache>
                <c:formatCode>0%</c:formatCode>
                <c:ptCount val="6"/>
                <c:pt idx="0">
                  <c:v>8.3333333333333329E-2</c:v>
                </c:pt>
                <c:pt idx="1">
                  <c:v>0.33333333333333331</c:v>
                </c:pt>
                <c:pt idx="2">
                  <c:v>8.3333333333333329E-2</c:v>
                </c:pt>
                <c:pt idx="3">
                  <c:v>0.16666666666666666</c:v>
                </c:pt>
                <c:pt idx="4">
                  <c:v>0.20833333333333334</c:v>
                </c:pt>
                <c:pt idx="5">
                  <c:v>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61-4E92-B4AF-83C801E00549}"/>
            </c:ext>
          </c:extLst>
        </c:ser>
        <c:ser>
          <c:idx val="1"/>
          <c:order val="1"/>
          <c:tx>
            <c:strRef>
              <c:f>'Pivot Table'!$C$33:$C$34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Table'!$A$35:$A$40</c:f>
              <c:strCache>
                <c:ptCount val="6"/>
                <c:pt idx="0">
                  <c:v>PROD_ID_01</c:v>
                </c:pt>
                <c:pt idx="1">
                  <c:v>PROD_ID_02</c:v>
                </c:pt>
                <c:pt idx="2">
                  <c:v>PROD_ID_03</c:v>
                </c:pt>
                <c:pt idx="3">
                  <c:v>PROD_ID_04</c:v>
                </c:pt>
                <c:pt idx="4">
                  <c:v>PROD_ID_05</c:v>
                </c:pt>
                <c:pt idx="5">
                  <c:v>PROD_ID_06</c:v>
                </c:pt>
              </c:strCache>
            </c:strRef>
          </c:cat>
          <c:val>
            <c:numRef>
              <c:f>'Pivot Table'!$C$35:$C$40</c:f>
              <c:numCache>
                <c:formatCode>0%</c:formatCode>
                <c:ptCount val="6"/>
                <c:pt idx="0">
                  <c:v>0.1111111111111111</c:v>
                </c:pt>
                <c:pt idx="1">
                  <c:v>0.29629629629629628</c:v>
                </c:pt>
                <c:pt idx="2">
                  <c:v>0.22222222222222221</c:v>
                </c:pt>
                <c:pt idx="3">
                  <c:v>0.1111111111111111</c:v>
                </c:pt>
                <c:pt idx="4">
                  <c:v>0.14814814814814814</c:v>
                </c:pt>
                <c:pt idx="5">
                  <c:v>0.1111111111111111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61-4E92-B4AF-83C801E00549}"/>
            </c:ext>
          </c:extLst>
        </c:ser>
        <c:ser>
          <c:idx val="2"/>
          <c:order val="2"/>
          <c:tx>
            <c:strRef>
              <c:f>'Pivot Table'!$D$33:$D$34</c:f>
              <c:strCache>
                <c:ptCount val="1"/>
                <c:pt idx="0">
                  <c:v>Satisfied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Table'!$A$35:$A$40</c:f>
              <c:strCache>
                <c:ptCount val="6"/>
                <c:pt idx="0">
                  <c:v>PROD_ID_01</c:v>
                </c:pt>
                <c:pt idx="1">
                  <c:v>PROD_ID_02</c:v>
                </c:pt>
                <c:pt idx="2">
                  <c:v>PROD_ID_03</c:v>
                </c:pt>
                <c:pt idx="3">
                  <c:v>PROD_ID_04</c:v>
                </c:pt>
                <c:pt idx="4">
                  <c:v>PROD_ID_05</c:v>
                </c:pt>
                <c:pt idx="5">
                  <c:v>PROD_ID_06</c:v>
                </c:pt>
              </c:strCache>
            </c:strRef>
          </c:cat>
          <c:val>
            <c:numRef>
              <c:f>'Pivot Table'!$D$35:$D$40</c:f>
              <c:numCache>
                <c:formatCode>0%</c:formatCode>
                <c:ptCount val="6"/>
                <c:pt idx="0">
                  <c:v>0.16666666666666666</c:v>
                </c:pt>
                <c:pt idx="1">
                  <c:v>0.25</c:v>
                </c:pt>
                <c:pt idx="2">
                  <c:v>0.125</c:v>
                </c:pt>
                <c:pt idx="3">
                  <c:v>0.1875</c:v>
                </c:pt>
                <c:pt idx="4">
                  <c:v>0.125</c:v>
                </c:pt>
                <c:pt idx="5">
                  <c:v>0.14583333333333334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61-4E92-B4AF-83C801E00549}"/>
            </c:ext>
          </c:extLst>
        </c:ser>
        <c:ser>
          <c:idx val="3"/>
          <c:order val="3"/>
          <c:tx>
            <c:strRef>
              <c:f>'Pivot Table'!$E$33:$E$34</c:f>
              <c:strCache>
                <c:ptCount val="1"/>
                <c:pt idx="0">
                  <c:v>Very Dissatisfied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Table'!$A$35:$A$40</c:f>
              <c:strCache>
                <c:ptCount val="6"/>
                <c:pt idx="0">
                  <c:v>PROD_ID_01</c:v>
                </c:pt>
                <c:pt idx="1">
                  <c:v>PROD_ID_02</c:v>
                </c:pt>
                <c:pt idx="2">
                  <c:v>PROD_ID_03</c:v>
                </c:pt>
                <c:pt idx="3">
                  <c:v>PROD_ID_04</c:v>
                </c:pt>
                <c:pt idx="4">
                  <c:v>PROD_ID_05</c:v>
                </c:pt>
                <c:pt idx="5">
                  <c:v>PROD_ID_06</c:v>
                </c:pt>
              </c:strCache>
            </c:strRef>
          </c:cat>
          <c:val>
            <c:numRef>
              <c:f>'Pivot Table'!$E$35:$E$40</c:f>
              <c:numCache>
                <c:formatCode>0%</c:formatCode>
                <c:ptCount val="6"/>
                <c:pt idx="0">
                  <c:v>0.1</c:v>
                </c:pt>
                <c:pt idx="1">
                  <c:v>0.3</c:v>
                </c:pt>
                <c:pt idx="2">
                  <c:v>0.15</c:v>
                </c:pt>
                <c:pt idx="3">
                  <c:v>0.1</c:v>
                </c:pt>
                <c:pt idx="4">
                  <c:v>0.1</c:v>
                </c:pt>
                <c:pt idx="5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61-4E92-B4AF-83C801E00549}"/>
            </c:ext>
          </c:extLst>
        </c:ser>
        <c:ser>
          <c:idx val="4"/>
          <c:order val="4"/>
          <c:tx>
            <c:strRef>
              <c:f>'Pivot Table'!$F$33:$F$34</c:f>
              <c:strCache>
                <c:ptCount val="1"/>
                <c:pt idx="0">
                  <c:v>Very Satisfied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Table'!$A$35:$A$40</c:f>
              <c:strCache>
                <c:ptCount val="6"/>
                <c:pt idx="0">
                  <c:v>PROD_ID_01</c:v>
                </c:pt>
                <c:pt idx="1">
                  <c:v>PROD_ID_02</c:v>
                </c:pt>
                <c:pt idx="2">
                  <c:v>PROD_ID_03</c:v>
                </c:pt>
                <c:pt idx="3">
                  <c:v>PROD_ID_04</c:v>
                </c:pt>
                <c:pt idx="4">
                  <c:v>PROD_ID_05</c:v>
                </c:pt>
                <c:pt idx="5">
                  <c:v>PROD_ID_06</c:v>
                </c:pt>
              </c:strCache>
            </c:strRef>
          </c:cat>
          <c:val>
            <c:numRef>
              <c:f>'Pivot Table'!$F$35:$F$40</c:f>
              <c:numCache>
                <c:formatCode>0%</c:formatCode>
                <c:ptCount val="6"/>
                <c:pt idx="0">
                  <c:v>0.12698412698412698</c:v>
                </c:pt>
                <c:pt idx="1">
                  <c:v>0.26984126984126983</c:v>
                </c:pt>
                <c:pt idx="2">
                  <c:v>0.17460317460317459</c:v>
                </c:pt>
                <c:pt idx="3">
                  <c:v>0.20634920634920634</c:v>
                </c:pt>
                <c:pt idx="4">
                  <c:v>0.1111111111111111</c:v>
                </c:pt>
                <c:pt idx="5">
                  <c:v>0.1111111111111111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961-4E92-B4AF-83C801E0054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01277760"/>
        <c:axId val="501278240"/>
      </c:barChart>
      <c:catAx>
        <c:axId val="501277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278240"/>
        <c:crosses val="autoZero"/>
        <c:auto val="1"/>
        <c:lblAlgn val="ctr"/>
        <c:lblOffset val="100"/>
        <c:noMultiLvlLbl val="0"/>
      </c:catAx>
      <c:valAx>
        <c:axId val="501278240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501277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4087513132385274"/>
          <c:y val="0.89333400849009625"/>
          <c:w val="0.77511453880980952"/>
          <c:h val="9.43314377369495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1E8-4289-B742-DA977C1FE651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1E8-4289-B742-DA977C1FE651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1E8-4289-B742-DA977C1FE65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Table'!$D$20:$E$20</c:f>
              <c:strCache>
                <c:ptCount val="2"/>
                <c:pt idx="0">
                  <c:v>Gross Profit Margin(GPM)</c:v>
                </c:pt>
                <c:pt idx="1">
                  <c:v>1-GPM</c:v>
                </c:pt>
              </c:strCache>
            </c:strRef>
          </c:cat>
          <c:val>
            <c:numRef>
              <c:f>'Pivot Table'!$D$21:$E$21</c:f>
              <c:numCache>
                <c:formatCode>0%</c:formatCode>
                <c:ptCount val="2"/>
                <c:pt idx="0">
                  <c:v>0.39999869811809452</c:v>
                </c:pt>
                <c:pt idx="1">
                  <c:v>0.60000130188190548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1E8-4289-B742-DA977C1FE651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01E8-4289-B742-DA977C1FE651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01E8-4289-B742-DA977C1FE651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1E8-4289-B742-DA977C1FE65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Table'!$D$20:$E$20</c:f>
              <c:strCache>
                <c:ptCount val="2"/>
                <c:pt idx="0">
                  <c:v>Gross Profit Margin(GPM)</c:v>
                </c:pt>
                <c:pt idx="1">
                  <c:v>1-GPM</c:v>
                </c:pt>
              </c:strCache>
            </c:strRef>
          </c:cat>
          <c:val>
            <c:numRef>
              <c:f>'Pivot Table'!$D$22:$E$22</c:f>
              <c:numCache>
                <c:formatCode>0%</c:formatCode>
                <c:ptCount val="2"/>
                <c:pt idx="0">
                  <c:v>0.49999992307363395</c:v>
                </c:pt>
                <c:pt idx="1">
                  <c:v>0.50000007692636605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1E8-4289-B742-DA977C1FE651}"/>
            </c:ext>
          </c:extLst>
        </c:ser>
        <c:ser>
          <c:idx val="2"/>
          <c:order val="2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1E8-4289-B742-DA977C1FE651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01E8-4289-B742-DA977C1FE651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1E8-4289-B742-DA977C1FE65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Table'!$D$20:$E$20</c:f>
              <c:strCache>
                <c:ptCount val="2"/>
                <c:pt idx="0">
                  <c:v>Gross Profit Margin(GPM)</c:v>
                </c:pt>
                <c:pt idx="1">
                  <c:v>1-GPM</c:v>
                </c:pt>
              </c:strCache>
            </c:strRef>
          </c:cat>
          <c:val>
            <c:numRef>
              <c:f>'Pivot Table'!$D$23:$E$23</c:f>
              <c:numCache>
                <c:formatCode>0%</c:formatCode>
                <c:ptCount val="2"/>
                <c:pt idx="0">
                  <c:v>0.5999999866521597</c:v>
                </c:pt>
                <c:pt idx="1">
                  <c:v>0.4000000133478403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1E8-4289-B742-DA977C1FE651}"/>
            </c:ext>
          </c:extLst>
        </c:ser>
        <c:ser>
          <c:idx val="3"/>
          <c:order val="3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01E8-4289-B742-DA977C1FE651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01E8-4289-B742-DA977C1FE651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01E8-4289-B742-DA977C1FE65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Table'!$D$20:$E$20</c:f>
              <c:strCache>
                <c:ptCount val="2"/>
                <c:pt idx="0">
                  <c:v>Gross Profit Margin(GPM)</c:v>
                </c:pt>
                <c:pt idx="1">
                  <c:v>1-GPM</c:v>
                </c:pt>
              </c:strCache>
            </c:strRef>
          </c:cat>
          <c:val>
            <c:numRef>
              <c:f>'Pivot Table'!$D$24:$E$24</c:f>
              <c:numCache>
                <c:formatCode>0%</c:formatCode>
                <c:ptCount val="2"/>
                <c:pt idx="0">
                  <c:v>0.70000003441396486</c:v>
                </c:pt>
                <c:pt idx="1">
                  <c:v>0.29999996558603514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01E8-4289-B742-DA977C1FE651}"/>
            </c:ext>
          </c:extLst>
        </c:ser>
        <c:ser>
          <c:idx val="4"/>
          <c:order val="4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01E8-4289-B742-DA977C1FE651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01E8-4289-B742-DA977C1FE651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01E8-4289-B742-DA977C1FE65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Table'!$D$20:$E$20</c:f>
              <c:strCache>
                <c:ptCount val="2"/>
                <c:pt idx="0">
                  <c:v>Gross Profit Margin(GPM)</c:v>
                </c:pt>
                <c:pt idx="1">
                  <c:v>1-GPM</c:v>
                </c:pt>
              </c:strCache>
            </c:strRef>
          </c:cat>
          <c:val>
            <c:numRef>
              <c:f>'Pivot Table'!$D$25:$E$25</c:f>
              <c:numCache>
                <c:formatCode>0%</c:formatCode>
                <c:ptCount val="2"/>
                <c:pt idx="0">
                  <c:v>0.75000019898446391</c:v>
                </c:pt>
                <c:pt idx="1">
                  <c:v>0.24999980101553609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1E8-4289-B742-DA977C1FE651}"/>
            </c:ext>
          </c:extLst>
        </c:ser>
        <c:ser>
          <c:idx val="5"/>
          <c:order val="5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01E8-4289-B742-DA977C1FE651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01E8-4289-B742-DA977C1FE651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01E8-4289-B742-DA977C1FE65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Table'!$D$20:$E$20</c:f>
              <c:strCache>
                <c:ptCount val="2"/>
                <c:pt idx="0">
                  <c:v>Gross Profit Margin(GPM)</c:v>
                </c:pt>
                <c:pt idx="1">
                  <c:v>1-GPM</c:v>
                </c:pt>
              </c:strCache>
            </c:strRef>
          </c:cat>
          <c:val>
            <c:numRef>
              <c:f>'Pivot Table'!$D$26:$E$26</c:f>
              <c:numCache>
                <c:formatCode>0%</c:formatCode>
                <c:ptCount val="2"/>
                <c:pt idx="0">
                  <c:v>0.80000004093183508</c:v>
                </c:pt>
                <c:pt idx="1">
                  <c:v>0.19999995906816492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01E8-4289-B742-DA977C1FE6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2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  <cx:data id="3">
      <cx:numDim type="val">
        <cx:f>_xlchart.v1.7</cx:f>
      </cx:numDim>
    </cx:data>
    <cx:data id="4">
      <cx:numDim type="val">
        <cx:f>_xlchart.v1.9</cx:f>
      </cx:numDim>
    </cx:data>
    <cx:data id="5">
      <cx:numDim type="val">
        <cx:f>_xlchart.v1.11</cx:f>
      </cx:numDim>
    </cx:data>
  </cx:chartData>
  <cx:chart>
    <cx:plotArea>
      <cx:plotAreaRegion>
        <cx:series layoutId="boxWhisker" uniqueId="{D9A2267F-B1A8-402A-97F5-FA01D2C3ED09}">
          <cx:tx>
            <cx:txData>
              <cx:f>_xlchart.v1.0</cx:f>
              <cx:v>PROD_ID_01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5F8E36E4-CA1C-47CB-9213-85571D131D5E}">
          <cx:tx>
            <cx:txData>
              <cx:f>_xlchart.v1.2</cx:f>
              <cx:v>PROD_ID_02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41E270B2-2269-423B-B4C6-9C9EB8254D29}">
          <cx:tx>
            <cx:txData>
              <cx:f>_xlchart.v1.4</cx:f>
              <cx:v>PROD_ID_03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A32E9C92-4A59-42D7-8878-CBC7832CE23C}">
          <cx:tx>
            <cx:txData>
              <cx:f>_xlchart.v1.6</cx:f>
              <cx:v>PROD_ID_04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5DBC32B5-E788-4ADB-8E0B-E3E020DC45CB}">
          <cx:tx>
            <cx:txData>
              <cx:f>_xlchart.v1.8</cx:f>
              <cx:v>PROD_ID_05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330F926C-EED3-4ADD-A1DD-9A84089C5DEB}">
          <cx:tx>
            <cx:txData>
              <cx:f>_xlchart.v1.10</cx:f>
              <cx:v>PROD_ID_06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0.100000001"/>
        <cx:tickLabels/>
      </cx:axis>
      <cx:axis id="1">
        <cx:valScaling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ysClr val="windowText" lastClr="000000"/>
                </a:solidFill>
              </a:defRPr>
            </a:pPr>
            <a:endParaRPr lang="en-US" sz="900" b="0" i="0" u="none" strike="noStrike" baseline="0">
              <a:solidFill>
                <a:sysClr val="windowText" lastClr="000000"/>
              </a:solidFill>
              <a:latin typeface="Calibri" panose="020F0502020204030204"/>
            </a:endParaRPr>
          </a:p>
        </cx:txPr>
      </cx:axis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457200</xdr:colOff>
      <xdr:row>17</xdr:row>
      <xdr:rowOff>38100</xdr:rowOff>
    </xdr:from>
    <xdr:to>
      <xdr:col>11</xdr:col>
      <xdr:colOff>85725</xdr:colOff>
      <xdr:row>31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B7F5875-E3F9-2034-055F-3B975CEF1F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2209800</xdr:colOff>
      <xdr:row>42</xdr:row>
      <xdr:rowOff>57150</xdr:rowOff>
    </xdr:from>
    <xdr:to>
      <xdr:col>6</xdr:col>
      <xdr:colOff>295275</xdr:colOff>
      <xdr:row>56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C2EE902-E8FF-D050-FC6B-5E443B1C93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253999</xdr:colOff>
      <xdr:row>7</xdr:row>
      <xdr:rowOff>123825</xdr:rowOff>
    </xdr:from>
    <xdr:to>
      <xdr:col>8</xdr:col>
      <xdr:colOff>206374</xdr:colOff>
      <xdr:row>22</xdr:row>
      <xdr:rowOff>9525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66A2E7B-AC82-4438-8CC9-110D169E4B2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60499" y="1457325"/>
              <a:ext cx="595312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0</xdr:colOff>
      <xdr:row>1</xdr:row>
      <xdr:rowOff>142875</xdr:rowOff>
    </xdr:from>
    <xdr:to>
      <xdr:col>12</xdr:col>
      <xdr:colOff>47625</xdr:colOff>
      <xdr:row>4</xdr:row>
      <xdr:rowOff>38100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A441F44-6F68-A4D9-72F9-B7F15287AE10}"/>
            </a:ext>
          </a:extLst>
        </xdr:cNvPr>
        <xdr:cNvSpPr txBox="1"/>
      </xdr:nvSpPr>
      <xdr:spPr>
        <a:xfrm>
          <a:off x="876300" y="333375"/>
          <a:ext cx="7096125" cy="46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/>
            <a:t>PRODUCT PERFORMANCE DASHBOARD (FY</a:t>
          </a:r>
          <a:r>
            <a:rPr lang="en-US" sz="2000" b="1" baseline="0"/>
            <a:t> 20</a:t>
          </a:r>
          <a:r>
            <a:rPr lang="en-US" sz="2000" b="1"/>
            <a:t>23-2024)</a:t>
          </a:r>
        </a:p>
      </xdr:txBody>
    </xdr:sp>
    <xdr:clientData/>
  </xdr:twoCellAnchor>
  <xdr:twoCellAnchor>
    <xdr:from>
      <xdr:col>1</xdr:col>
      <xdr:colOff>0</xdr:colOff>
      <xdr:row>3</xdr:row>
      <xdr:rowOff>171450</xdr:rowOff>
    </xdr:from>
    <xdr:to>
      <xdr:col>17</xdr:col>
      <xdr:colOff>361950</xdr:colOff>
      <xdr:row>4</xdr:row>
      <xdr:rowOff>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B527B12B-A067-C77C-92C4-E6F43C00F80F}"/>
            </a:ext>
          </a:extLst>
        </xdr:cNvPr>
        <xdr:cNvCxnSpPr/>
      </xdr:nvCxnSpPr>
      <xdr:spPr>
        <a:xfrm flipV="1">
          <a:off x="923925" y="742950"/>
          <a:ext cx="10410825" cy="190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14868</xdr:colOff>
      <xdr:row>4</xdr:row>
      <xdr:rowOff>147057</xdr:rowOff>
    </xdr:from>
    <xdr:to>
      <xdr:col>7</xdr:col>
      <xdr:colOff>252993</xdr:colOff>
      <xdr:row>7</xdr:row>
      <xdr:rowOff>42282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C65263F-2889-4F1E-B4C3-65F6D7F28E1D}"/>
            </a:ext>
          </a:extLst>
        </xdr:cNvPr>
        <xdr:cNvSpPr txBox="1"/>
      </xdr:nvSpPr>
      <xdr:spPr>
        <a:xfrm>
          <a:off x="1222917" y="890472"/>
          <a:ext cx="5023856" cy="4527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>
              <a:solidFill>
                <a:schemeClr val="accent1"/>
              </a:solidFill>
            </a:rPr>
            <a:t>Sales</a:t>
          </a:r>
          <a:r>
            <a:rPr lang="en-US" sz="1800" b="1" baseline="0">
              <a:solidFill>
                <a:schemeClr val="accent1"/>
              </a:solidFill>
            </a:rPr>
            <a:t> Distribution across Products</a:t>
          </a:r>
          <a:endParaRPr lang="en-US" sz="1800" b="1">
            <a:solidFill>
              <a:schemeClr val="accent1"/>
            </a:solidFill>
          </a:endParaRPr>
        </a:p>
      </xdr:txBody>
    </xdr:sp>
    <xdr:clientData/>
  </xdr:twoCellAnchor>
  <xdr:twoCellAnchor>
    <xdr:from>
      <xdr:col>14</xdr:col>
      <xdr:colOff>562142</xdr:colOff>
      <xdr:row>7</xdr:row>
      <xdr:rowOff>151431</xdr:rowOff>
    </xdr:from>
    <xdr:to>
      <xdr:col>22</xdr:col>
      <xdr:colOff>451184</xdr:colOff>
      <xdr:row>24</xdr:row>
      <xdr:rowOff>80514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1E502AB-C191-4498-B0FE-0065280000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65115</xdr:colOff>
      <xdr:row>4</xdr:row>
      <xdr:rowOff>141536</xdr:rowOff>
    </xdr:from>
    <xdr:to>
      <xdr:col>23</xdr:col>
      <xdr:colOff>19162</xdr:colOff>
      <xdr:row>7</xdr:row>
      <xdr:rowOff>35025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44A6124-EA91-473A-A431-0BB7D747C3E1}"/>
            </a:ext>
          </a:extLst>
        </xdr:cNvPr>
        <xdr:cNvSpPr txBox="1"/>
      </xdr:nvSpPr>
      <xdr:spPr>
        <a:xfrm>
          <a:off x="10307583" y="883744"/>
          <a:ext cx="5409274" cy="4501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baseline="0">
              <a:solidFill>
                <a:schemeClr val="accent1"/>
              </a:solidFill>
            </a:rPr>
            <a:t>Customer Satisfaction across Products</a:t>
          </a:r>
          <a:endParaRPr lang="en-US" sz="1800" b="1">
            <a:solidFill>
              <a:schemeClr val="accent1"/>
            </a:solidFill>
          </a:endParaRPr>
        </a:p>
      </xdr:txBody>
    </xdr:sp>
    <xdr:clientData/>
  </xdr:twoCellAnchor>
  <xdr:twoCellAnchor>
    <xdr:from>
      <xdr:col>7</xdr:col>
      <xdr:colOff>779318</xdr:colOff>
      <xdr:row>4</xdr:row>
      <xdr:rowOff>182605</xdr:rowOff>
    </xdr:from>
    <xdr:to>
      <xdr:col>14</xdr:col>
      <xdr:colOff>505555</xdr:colOff>
      <xdr:row>7</xdr:row>
      <xdr:rowOff>76094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D18869D-B3DA-4ABF-84E7-55D9FDD64D8C}"/>
            </a:ext>
          </a:extLst>
        </xdr:cNvPr>
        <xdr:cNvSpPr txBox="1"/>
      </xdr:nvSpPr>
      <xdr:spPr>
        <a:xfrm>
          <a:off x="6543799" y="924813"/>
          <a:ext cx="4204224" cy="4501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baseline="0">
              <a:solidFill>
                <a:schemeClr val="accent1"/>
              </a:solidFill>
            </a:rPr>
            <a:t>Profit Margin across Products</a:t>
          </a:r>
          <a:endParaRPr lang="en-US" sz="1800" b="1">
            <a:solidFill>
              <a:schemeClr val="accent1"/>
            </a:solidFill>
          </a:endParaRPr>
        </a:p>
      </xdr:txBody>
    </xdr:sp>
    <xdr:clientData/>
  </xdr:twoCellAnchor>
  <xdr:twoCellAnchor>
    <xdr:from>
      <xdr:col>7</xdr:col>
      <xdr:colOff>799821</xdr:colOff>
      <xdr:row>7</xdr:row>
      <xdr:rowOff>17283</xdr:rowOff>
    </xdr:from>
    <xdr:to>
      <xdr:col>14</xdr:col>
      <xdr:colOff>534965</xdr:colOff>
      <xdr:row>21</xdr:row>
      <xdr:rowOff>143527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565C9B3-559E-4758-BD25-6AB74BF082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332912</xdr:colOff>
      <xdr:row>8</xdr:row>
      <xdr:rowOff>11952</xdr:rowOff>
    </xdr:from>
    <xdr:to>
      <xdr:col>11</xdr:col>
      <xdr:colOff>360655</xdr:colOff>
      <xdr:row>10</xdr:row>
      <xdr:rowOff>101376</xdr:rowOff>
    </xdr:to>
    <xdr:sp macro="" textlink="$C$25">
      <xdr:nvSpPr>
        <xdr:cNvPr id="12" name="TextBox 11">
          <a:extLst>
            <a:ext uri="{FF2B5EF4-FFF2-40B4-BE49-F238E27FC236}">
              <a16:creationId xmlns:a16="http://schemas.microsoft.com/office/drawing/2014/main" id="{368C8531-BF08-4965-A833-3976BA744F87}"/>
            </a:ext>
          </a:extLst>
        </xdr:cNvPr>
        <xdr:cNvSpPr txBox="1"/>
      </xdr:nvSpPr>
      <xdr:spPr>
        <a:xfrm>
          <a:off x="7555266" y="1565544"/>
          <a:ext cx="1248423" cy="4778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81F0CCA3-3093-4D4B-A90D-C009323557E6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PROD_ID_01</a:t>
          </a:fld>
          <a:endParaRPr lang="en-US" sz="10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337350</xdr:colOff>
      <xdr:row>8</xdr:row>
      <xdr:rowOff>182848</xdr:rowOff>
    </xdr:from>
    <xdr:to>
      <xdr:col>11</xdr:col>
      <xdr:colOff>365093</xdr:colOff>
      <xdr:row>11</xdr:row>
      <xdr:rowOff>78073</xdr:rowOff>
    </xdr:to>
    <xdr:sp macro="" textlink="$D$25">
      <xdr:nvSpPr>
        <xdr:cNvPr id="13" name="TextBox 12">
          <a:extLst>
            <a:ext uri="{FF2B5EF4-FFF2-40B4-BE49-F238E27FC236}">
              <a16:creationId xmlns:a16="http://schemas.microsoft.com/office/drawing/2014/main" id="{42B8250F-55BB-47FA-9079-85BEC7D297F8}"/>
            </a:ext>
          </a:extLst>
        </xdr:cNvPr>
        <xdr:cNvSpPr txBox="1"/>
      </xdr:nvSpPr>
      <xdr:spPr>
        <a:xfrm>
          <a:off x="7559704" y="1736440"/>
          <a:ext cx="1248423" cy="4778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7810FF3-7F40-44B0-8638-BB2DFA1CED7C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PROD_ID_02</a:t>
          </a:fld>
          <a:endParaRPr lang="en-US" sz="10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341790</xdr:colOff>
      <xdr:row>9</xdr:row>
      <xdr:rowOff>168790</xdr:rowOff>
    </xdr:from>
    <xdr:to>
      <xdr:col>11</xdr:col>
      <xdr:colOff>369533</xdr:colOff>
      <xdr:row>12</xdr:row>
      <xdr:rowOff>64015</xdr:rowOff>
    </xdr:to>
    <xdr:sp macro="" textlink="$E$25">
      <xdr:nvSpPr>
        <xdr:cNvPr id="14" name="TextBox 13">
          <a:extLst>
            <a:ext uri="{FF2B5EF4-FFF2-40B4-BE49-F238E27FC236}">
              <a16:creationId xmlns:a16="http://schemas.microsoft.com/office/drawing/2014/main" id="{48D43535-85BD-4689-8885-4E7C20E8C631}"/>
            </a:ext>
          </a:extLst>
        </xdr:cNvPr>
        <xdr:cNvSpPr txBox="1"/>
      </xdr:nvSpPr>
      <xdr:spPr>
        <a:xfrm>
          <a:off x="7564144" y="1916581"/>
          <a:ext cx="1248423" cy="4778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59DB6B4-FBE3-4D71-B045-2B3988C1AF51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PROD_ID_03</a:t>
          </a:fld>
          <a:endParaRPr lang="en-US" sz="10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336981</xdr:colOff>
      <xdr:row>10</xdr:row>
      <xdr:rowOff>145486</xdr:rowOff>
    </xdr:from>
    <xdr:to>
      <xdr:col>11</xdr:col>
      <xdr:colOff>364724</xdr:colOff>
      <xdr:row>13</xdr:row>
      <xdr:rowOff>40711</xdr:rowOff>
    </xdr:to>
    <xdr:sp macro="" textlink="$F$25">
      <xdr:nvSpPr>
        <xdr:cNvPr id="15" name="TextBox 14">
          <a:extLst>
            <a:ext uri="{FF2B5EF4-FFF2-40B4-BE49-F238E27FC236}">
              <a16:creationId xmlns:a16="http://schemas.microsoft.com/office/drawing/2014/main" id="{2B8DB9CB-3463-45C0-893D-5BA46A6CC954}"/>
            </a:ext>
          </a:extLst>
        </xdr:cNvPr>
        <xdr:cNvSpPr txBox="1"/>
      </xdr:nvSpPr>
      <xdr:spPr>
        <a:xfrm>
          <a:off x="7559335" y="2087476"/>
          <a:ext cx="1248423" cy="4778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194629A0-C11E-4A57-B7FA-87EF3D5F9D71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PROD_ID_04</a:t>
          </a:fld>
          <a:endParaRPr lang="en-US" sz="10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350668</xdr:colOff>
      <xdr:row>11</xdr:row>
      <xdr:rowOff>112935</xdr:rowOff>
    </xdr:from>
    <xdr:to>
      <xdr:col>11</xdr:col>
      <xdr:colOff>378411</xdr:colOff>
      <xdr:row>14</xdr:row>
      <xdr:rowOff>8160</xdr:rowOff>
    </xdr:to>
    <xdr:sp macro="" textlink="$G$25">
      <xdr:nvSpPr>
        <xdr:cNvPr id="16" name="TextBox 15">
          <a:extLst>
            <a:ext uri="{FF2B5EF4-FFF2-40B4-BE49-F238E27FC236}">
              <a16:creationId xmlns:a16="http://schemas.microsoft.com/office/drawing/2014/main" id="{A56CB052-DF53-4176-BDA7-9DB1619044BB}"/>
            </a:ext>
          </a:extLst>
        </xdr:cNvPr>
        <xdr:cNvSpPr txBox="1"/>
      </xdr:nvSpPr>
      <xdr:spPr>
        <a:xfrm>
          <a:off x="7573022" y="2249124"/>
          <a:ext cx="1248423" cy="4778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36C185F-B922-4183-A695-2AD18E9E4DC9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PROD_ID_05</a:t>
          </a:fld>
          <a:endParaRPr lang="en-US" sz="10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364354</xdr:colOff>
      <xdr:row>12</xdr:row>
      <xdr:rowOff>89631</xdr:rowOff>
    </xdr:from>
    <xdr:to>
      <xdr:col>11</xdr:col>
      <xdr:colOff>392097</xdr:colOff>
      <xdr:row>14</xdr:row>
      <xdr:rowOff>179055</xdr:rowOff>
    </xdr:to>
    <xdr:sp macro="" textlink="$H$25">
      <xdr:nvSpPr>
        <xdr:cNvPr id="17" name="TextBox 16">
          <a:extLst>
            <a:ext uri="{FF2B5EF4-FFF2-40B4-BE49-F238E27FC236}">
              <a16:creationId xmlns:a16="http://schemas.microsoft.com/office/drawing/2014/main" id="{10A140E7-2968-4258-B8AB-DA4318C28492}"/>
            </a:ext>
          </a:extLst>
        </xdr:cNvPr>
        <xdr:cNvSpPr txBox="1"/>
      </xdr:nvSpPr>
      <xdr:spPr>
        <a:xfrm>
          <a:off x="7586708" y="2420019"/>
          <a:ext cx="1248423" cy="4778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908284E1-D2EA-4052-984E-0FDE3D17745A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PROD_ID_06</a:t>
          </a:fld>
          <a:endParaRPr lang="en-US" sz="1000" b="0">
            <a:solidFill>
              <a:sysClr val="windowText" lastClr="000000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699.893647569443" createdVersion="8" refreshedVersion="8" minRefreshableVersion="3" recordCount="182" xr:uid="{B290354D-FCBD-47CE-9250-ECEAAC73A3C6}">
  <cacheSource type="worksheet">
    <worksheetSource name="Table1"/>
  </cacheSource>
  <cacheFields count="10">
    <cacheField name="Customer_ID" numFmtId="0">
      <sharedItems/>
    </cacheField>
    <cacheField name="Product_ID" numFmtId="0">
      <sharedItems count="6">
        <s v="PROD_ID_01"/>
        <s v="PROD_ID_02"/>
        <s v="PROD_ID_03"/>
        <s v="PROD_ID_04"/>
        <s v="PROD_ID_05"/>
        <s v="PROD_ID_06"/>
      </sharedItems>
    </cacheField>
    <cacheField name="Sales" numFmtId="164">
      <sharedItems containsSemiMixedTypes="0" containsString="0" containsNumber="1" minValue="1730.54" maxValue="1104826"/>
    </cacheField>
    <cacheField name="Gross Profit" numFmtId="164">
      <sharedItems containsSemiMixedTypes="0" containsString="0" containsNumber="1" minValue="-33522.5" maxValue="937430"/>
    </cacheField>
    <cacheField name="Date" numFmtId="14">
      <sharedItems containsSemiMixedTypes="0" containsNonDate="0" containsDate="1" containsString="0" minDate="2021-01-02T00:00:00" maxDate="2022-12-31T00:00:00"/>
    </cacheField>
    <cacheField name="Month" numFmtId="0">
      <sharedItems count="12">
        <s v="Sep"/>
        <s v="Jan"/>
        <s v="Aug"/>
        <s v="Jul"/>
        <s v="Dec"/>
        <s v="Feb"/>
        <s v="May"/>
        <s v="Nov"/>
        <s v="Apr"/>
        <s v="Mar"/>
        <s v="Oct"/>
        <s v="Jun"/>
      </sharedItems>
    </cacheField>
    <cacheField name="Quarter" numFmtId="0">
      <sharedItems/>
    </cacheField>
    <cacheField name="Year" numFmtId="0">
      <sharedItems containsSemiMixedTypes="0" containsString="0" containsNumber="1" containsInteger="1" minValue="2021" maxValue="2021"/>
    </cacheField>
    <cacheField name="Country" numFmtId="0">
      <sharedItems/>
    </cacheField>
    <cacheField name="Customer Satisfaction Rating" numFmtId="0">
      <sharedItems count="5">
        <s v="Very Satisfied"/>
        <s v="Neutral"/>
        <s v="Satisfied"/>
        <s v="Dissatisfied"/>
        <s v="Very Dissatisfi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2">
  <r>
    <s v="CUST_ID_001"/>
    <x v="0"/>
    <n v="43125"/>
    <n v="1725"/>
    <d v="2021-09-22T00:00:00"/>
    <x v="0"/>
    <s v="Q3"/>
    <n v="2021"/>
    <s v="USA"/>
    <x v="0"/>
  </r>
  <r>
    <s v="CUST_ID_002"/>
    <x v="1"/>
    <n v="8235"/>
    <n v="2745"/>
    <d v="2021-01-11T00:00:00"/>
    <x v="1"/>
    <s v="Q1"/>
    <n v="2021"/>
    <s v="Canada"/>
    <x v="0"/>
  </r>
  <r>
    <s v="CUST_ID_003"/>
    <x v="1"/>
    <n v="236400"/>
    <n v="39400"/>
    <d v="2022-01-27T00:00:00"/>
    <x v="1"/>
    <s v="Q1"/>
    <n v="2021"/>
    <s v="England"/>
    <x v="1"/>
  </r>
  <r>
    <s v="CUST_ID_004"/>
    <x v="1"/>
    <n v="603750"/>
    <n v="455250"/>
    <d v="2021-08-01T00:00:00"/>
    <x v="2"/>
    <s v="Q3"/>
    <n v="2021"/>
    <s v="France"/>
    <x v="2"/>
  </r>
  <r>
    <s v="CUST_ID_005"/>
    <x v="1"/>
    <n v="10944"/>
    <n v="8208"/>
    <d v="2022-07-08T00:00:00"/>
    <x v="3"/>
    <s v="Q3"/>
    <n v="2021"/>
    <s v="Germany"/>
    <x v="2"/>
  </r>
  <r>
    <s v="CUST_ID_006"/>
    <x v="1"/>
    <n v="32280"/>
    <n v="10760"/>
    <d v="2022-09-28T00:00:00"/>
    <x v="0"/>
    <s v="Q3"/>
    <n v="2021"/>
    <s v="Italy"/>
    <x v="0"/>
  </r>
  <r>
    <s v="CUST_ID_007"/>
    <x v="2"/>
    <n v="43125"/>
    <n v="1725"/>
    <d v="2021-09-26T00:00:00"/>
    <x v="0"/>
    <s v="Q3"/>
    <n v="2021"/>
    <s v="India"/>
    <x v="2"/>
  </r>
  <r>
    <s v="CUST_ID_007"/>
    <x v="2"/>
    <n v="994875"/>
    <n v="801725"/>
    <d v="2021-09-26T00:00:00"/>
    <x v="4"/>
    <s v="Q3"/>
    <n v="2021"/>
    <s v="India"/>
    <x v="3"/>
  </r>
  <r>
    <s v="CUST_ID_008"/>
    <x v="3"/>
    <n v="534450"/>
    <n v="137430"/>
    <d v="2021-02-11T00:00:00"/>
    <x v="5"/>
    <s v="Q1"/>
    <n v="2021"/>
    <s v="Japan"/>
    <x v="0"/>
  </r>
  <r>
    <s v="CUST_ID_008"/>
    <x v="3"/>
    <n v="1000341"/>
    <n v="837430"/>
    <d v="2021-02-11T00:00:00"/>
    <x v="6"/>
    <s v="Q1"/>
    <n v="2021"/>
    <s v="Japan"/>
    <x v="0"/>
  </r>
  <r>
    <s v="CUST_ID_008"/>
    <x v="3"/>
    <n v="1104826"/>
    <n v="937430"/>
    <d v="2021-02-11T00:00:00"/>
    <x v="7"/>
    <s v="Q1"/>
    <n v="2021"/>
    <s v="Japan"/>
    <x v="3"/>
  </r>
  <r>
    <s v="CUST_ID_008"/>
    <x v="3"/>
    <n v="300000"/>
    <n v="237430"/>
    <d v="2021-02-11T00:00:00"/>
    <x v="4"/>
    <s v="Q1"/>
    <n v="2021"/>
    <s v="Japan"/>
    <x v="2"/>
  </r>
  <r>
    <s v="CUST_ID_009"/>
    <x v="4"/>
    <n v="40837.5"/>
    <n v="11900.5"/>
    <d v="2022-01-12T00:00:00"/>
    <x v="1"/>
    <s v="Q1"/>
    <n v="2021"/>
    <s v="USA"/>
    <x v="1"/>
  </r>
  <r>
    <s v="CUST_ID_010"/>
    <x v="4"/>
    <n v="9100.08"/>
    <n v="6802.08"/>
    <d v="2022-04-06T00:00:00"/>
    <x v="8"/>
    <s v="Q2"/>
    <n v="2021"/>
    <s v="Canada"/>
    <x v="3"/>
  </r>
  <r>
    <s v="CUST_ID_011"/>
    <x v="4"/>
    <n v="146718"/>
    <n v="123218"/>
    <d v="2021-11-19T00:00:00"/>
    <x v="7"/>
    <s v="Q4"/>
    <n v="2021"/>
    <s v="England"/>
    <x v="0"/>
  </r>
  <r>
    <s v="CUST_ID_011"/>
    <x v="4"/>
    <n v="500000"/>
    <n v="393218"/>
    <d v="2021-11-19T00:00:00"/>
    <x v="0"/>
    <s v="Q4"/>
    <n v="2021"/>
    <s v="England"/>
    <x v="0"/>
  </r>
  <r>
    <s v="CUST_ID_012"/>
    <x v="0"/>
    <n v="741906"/>
    <n v="517406"/>
    <d v="2021-12-20T00:00:00"/>
    <x v="4"/>
    <s v="Q4"/>
    <n v="2021"/>
    <s v="France"/>
    <x v="1"/>
  </r>
  <r>
    <s v="CUST_ID_013"/>
    <x v="0"/>
    <n v="82046.25"/>
    <n v="2486.25"/>
    <d v="2021-02-27T00:00:00"/>
    <x v="5"/>
    <s v="Q1"/>
    <n v="2021"/>
    <s v="Germany"/>
    <x v="2"/>
  </r>
  <r>
    <s v="CUST_ID_014"/>
    <x v="1"/>
    <n v="9100.08"/>
    <n v="6802.08"/>
    <d v="2022-07-10T00:00:00"/>
    <x v="3"/>
    <s v="Q3"/>
    <n v="2021"/>
    <s v="Italy"/>
    <x v="0"/>
  </r>
  <r>
    <s v="CUST_ID_015"/>
    <x v="2"/>
    <n v="82046.25"/>
    <n v="2486.25"/>
    <d v="2022-03-29T00:00:00"/>
    <x v="9"/>
    <s v="Q1"/>
    <n v="2021"/>
    <s v="India"/>
    <x v="2"/>
  </r>
  <r>
    <s v="CUST_ID_016"/>
    <x v="2"/>
    <n v="14497.56"/>
    <n v="4037.5599999999995"/>
    <d v="2022-10-19T00:00:00"/>
    <x v="10"/>
    <s v="Q4"/>
    <n v="2021"/>
    <s v="Japan"/>
    <x v="1"/>
  </r>
  <r>
    <s v="CUST_ID_017"/>
    <x v="3"/>
    <n v="146718"/>
    <n v="123218"/>
    <d v="2022-07-31T00:00:00"/>
    <x v="3"/>
    <s v="Q3"/>
    <n v="2021"/>
    <s v="USA"/>
    <x v="4"/>
  </r>
  <r>
    <s v="CUST_ID_018"/>
    <x v="5"/>
    <n v="23629.32"/>
    <n v="17662.32"/>
    <d v="2022-03-29T00:00:00"/>
    <x v="9"/>
    <s v="Q1"/>
    <n v="2021"/>
    <s v="Canada"/>
    <x v="1"/>
  </r>
  <r>
    <s v="CUST_ID_019"/>
    <x v="5"/>
    <n v="4766.8500000000004"/>
    <n v="1556.8500000000004"/>
    <d v="2022-07-27T00:00:00"/>
    <x v="3"/>
    <s v="Q3"/>
    <n v="2021"/>
    <s v="England"/>
    <x v="2"/>
  </r>
  <r>
    <s v="CUST_ID_019"/>
    <x v="5"/>
    <n v="700534"/>
    <n v="601556.85"/>
    <d v="2022-07-27T00:00:00"/>
    <x v="8"/>
    <s v="Q3"/>
    <n v="2021"/>
    <s v="England"/>
    <x v="4"/>
  </r>
  <r>
    <s v="CUST_ID_019"/>
    <x v="5"/>
    <n v="813091"/>
    <n v="701556.85"/>
    <d v="2022-07-27T00:00:00"/>
    <x v="6"/>
    <s v="Q3"/>
    <n v="2021"/>
    <s v="England"/>
    <x v="0"/>
  </r>
  <r>
    <s v="CUST_ID_020"/>
    <x v="4"/>
    <n v="62916"/>
    <n v="9416"/>
    <d v="2021-08-30T00:00:00"/>
    <x v="2"/>
    <s v="Q3"/>
    <n v="2021"/>
    <s v="France"/>
    <x v="3"/>
  </r>
  <r>
    <s v="CUST_ID_021"/>
    <x v="4"/>
    <n v="44714.7"/>
    <n v="3989.7000000000007"/>
    <d v="2021-10-15T00:00:00"/>
    <x v="10"/>
    <s v="Q4"/>
    <n v="2021"/>
    <s v="Germany"/>
    <x v="2"/>
  </r>
  <r>
    <s v="CUST_ID_022"/>
    <x v="0"/>
    <n v="203350"/>
    <n v="4150"/>
    <d v="2022-10-30T00:00:00"/>
    <x v="10"/>
    <s v="Q4"/>
    <n v="2021"/>
    <s v="Italy"/>
    <x v="2"/>
  </r>
  <r>
    <s v="CUST_ID_023"/>
    <x v="1"/>
    <n v="99102.5"/>
    <n v="2022.5"/>
    <d v="2021-12-10T00:00:00"/>
    <x v="4"/>
    <s v="Q4"/>
    <n v="2021"/>
    <s v="India"/>
    <x v="0"/>
  </r>
  <r>
    <s v="CUST_ID_024"/>
    <x v="1"/>
    <n v="262762.5"/>
    <n v="205362.5"/>
    <d v="2021-05-23T00:00:00"/>
    <x v="6"/>
    <s v="Q2"/>
    <n v="2021"/>
    <s v="Japan"/>
    <x v="3"/>
  </r>
  <r>
    <s v="CUST_ID_025"/>
    <x v="1"/>
    <n v="20991.599999999999"/>
    <n v="15636.599999999999"/>
    <d v="2021-02-18T00:00:00"/>
    <x v="5"/>
    <s v="Q1"/>
    <n v="2021"/>
    <s v="USA"/>
    <x v="2"/>
  </r>
  <r>
    <s v="CUST_ID_026"/>
    <x v="1"/>
    <n v="28297.5"/>
    <n v="9047.5"/>
    <d v="2021-01-28T00:00:00"/>
    <x v="1"/>
    <s v="Q1"/>
    <n v="2021"/>
    <s v="Canada"/>
    <x v="4"/>
  </r>
  <r>
    <s v="CUST_ID_027"/>
    <x v="1"/>
    <n v="13809.18"/>
    <n v="3744.1800000000003"/>
    <d v="2022-12-21T00:00:00"/>
    <x v="4"/>
    <s v="Q4"/>
    <n v="2021"/>
    <s v="England"/>
    <x v="3"/>
  </r>
  <r>
    <s v="CUST_ID_028"/>
    <x v="2"/>
    <n v="1017338"/>
    <n v="846178"/>
    <d v="2022-01-13T00:00:00"/>
    <x v="1"/>
    <s v="Q1"/>
    <n v="2021"/>
    <s v="France"/>
    <x v="0"/>
  </r>
  <r>
    <s v="CUST_ID_029"/>
    <x v="2"/>
    <n v="99102.5"/>
    <n v="2022.5"/>
    <d v="2022-11-08T00:00:00"/>
    <x v="7"/>
    <s v="Q4"/>
    <n v="2021"/>
    <s v="Germany"/>
    <x v="1"/>
  </r>
  <r>
    <s v="CUST_ID_030"/>
    <x v="2"/>
    <n v="262762.5"/>
    <n v="5362.5"/>
    <d v="2021-01-19T00:00:00"/>
    <x v="1"/>
    <s v="Q1"/>
    <n v="2021"/>
    <s v="Italy"/>
    <x v="4"/>
  </r>
  <r>
    <s v="CUST_ID_031"/>
    <x v="2"/>
    <n v="10662.4"/>
    <n v="5222.3999999999996"/>
    <d v="2021-07-30T00:00:00"/>
    <x v="3"/>
    <s v="Q3"/>
    <n v="2021"/>
    <s v="India"/>
    <x v="0"/>
  </r>
  <r>
    <s v="CUST_ID_032"/>
    <x v="3"/>
    <n v="62916"/>
    <n v="9416"/>
    <d v="2021-02-21T00:00:00"/>
    <x v="5"/>
    <s v="Q1"/>
    <n v="2021"/>
    <s v="Japan"/>
    <x v="2"/>
  </r>
  <r>
    <s v="CUST_ID_033"/>
    <x v="3"/>
    <n v="91238"/>
    <n v="22078"/>
    <d v="2022-01-28T00:00:00"/>
    <x v="1"/>
    <s v="Q1"/>
    <n v="2021"/>
    <s v="USA"/>
    <x v="0"/>
  </r>
  <r>
    <s v="CUST_ID_034"/>
    <x v="3"/>
    <n v="605420"/>
    <n v="461020"/>
    <d v="2022-01-12T00:00:00"/>
    <x v="1"/>
    <s v="Q1"/>
    <n v="2021"/>
    <s v="Canada"/>
    <x v="2"/>
  </r>
  <r>
    <s v="CUST_ID_035"/>
    <x v="5"/>
    <n v="1017338"/>
    <n v="877321"/>
    <d v="2022-07-01T00:00:00"/>
    <x v="3"/>
    <s v="Q3"/>
    <n v="2021"/>
    <s v="England"/>
    <x v="3"/>
  </r>
  <r>
    <s v="CUST_ID_036"/>
    <x v="4"/>
    <n v="10569.12"/>
    <n v="7845.1200000000008"/>
    <d v="2022-12-11T00:00:00"/>
    <x v="4"/>
    <s v="Q4"/>
    <n v="2021"/>
    <s v="France"/>
    <x v="2"/>
  </r>
  <r>
    <s v="CUST_ID_037"/>
    <x v="0"/>
    <n v="610081.5"/>
    <n v="542861.5"/>
    <d v="2021-05-16T00:00:00"/>
    <x v="6"/>
    <s v="Q2"/>
    <n v="2021"/>
    <s v="Germany"/>
    <x v="0"/>
  </r>
  <r>
    <s v="CUST_ID_038"/>
    <x v="1"/>
    <n v="28299.75"/>
    <n v="8849.75"/>
    <d v="2022-05-02T00:00:00"/>
    <x v="6"/>
    <s v="Q2"/>
    <n v="2021"/>
    <s v="Italy"/>
    <x v="1"/>
  </r>
  <r>
    <s v="CUST_ID_039"/>
    <x v="3"/>
    <n v="28299.75"/>
    <n v="8849.75"/>
    <d v="2022-04-02T00:00:00"/>
    <x v="8"/>
    <s v="Q2"/>
    <n v="2021"/>
    <s v="India"/>
    <x v="2"/>
  </r>
  <r>
    <s v="CUST_ID_040"/>
    <x v="1"/>
    <n v="11950.4"/>
    <n v="3150.3999999999996"/>
    <d v="2021-11-03T00:00:00"/>
    <x v="7"/>
    <s v="Q4"/>
    <n v="2021"/>
    <s v="Japan"/>
    <x v="0"/>
  </r>
  <r>
    <s v="CUST_ID_002"/>
    <x v="1"/>
    <n v="32558.400000000001"/>
    <n v="9948.4000000000015"/>
    <d v="2022-04-10T00:00:00"/>
    <x v="8"/>
    <s v="Q2"/>
    <n v="2021"/>
    <s v="Canada"/>
    <x v="2"/>
  </r>
  <r>
    <s v="CUST_ID_041"/>
    <x v="2"/>
    <n v="14131.2"/>
    <n v="6771.2000000000007"/>
    <d v="2022-07-12T00:00:00"/>
    <x v="3"/>
    <s v="Q3"/>
    <n v="2021"/>
    <s v="USA"/>
    <x v="0"/>
  </r>
  <r>
    <s v="CUST_ID_042"/>
    <x v="4"/>
    <n v="29158.720000000001"/>
    <n v="4903.7200000000012"/>
    <d v="2022-12-20T00:00:00"/>
    <x v="4"/>
    <s v="Q4"/>
    <n v="2021"/>
    <s v="Canada"/>
    <x v="0"/>
  </r>
  <r>
    <s v="CUST_ID_043"/>
    <x v="0"/>
    <n v="19158.72"/>
    <n v="4903.7200000000012"/>
    <d v="2021-07-14T00:00:00"/>
    <x v="3"/>
    <s v="Q3"/>
    <n v="2021"/>
    <s v="England"/>
    <x v="0"/>
  </r>
  <r>
    <s v="CUST_ID_026"/>
    <x v="1"/>
    <n v="9662.4"/>
    <n v="2952.3999999999996"/>
    <d v="2021-01-15T00:00:00"/>
    <x v="1"/>
    <s v="Q1"/>
    <n v="2021"/>
    <s v="Canada"/>
    <x v="2"/>
  </r>
  <r>
    <s v="CUST_ID_044"/>
    <x v="1"/>
    <n v="21801.599999999999"/>
    <n v="6661.5999999999985"/>
    <d v="2022-03-22T00:00:00"/>
    <x v="9"/>
    <s v="Q1"/>
    <n v="2021"/>
    <s v="France"/>
    <x v="2"/>
  </r>
  <r>
    <s v="CUST_ID_016"/>
    <x v="2"/>
    <n v="50803.199999999997"/>
    <n v="24343.199999999997"/>
    <d v="2022-06-05T00:00:00"/>
    <x v="11"/>
    <s v="Q2"/>
    <n v="2021"/>
    <s v="Japan"/>
    <x v="0"/>
  </r>
  <r>
    <s v="CUST_ID_033"/>
    <x v="3"/>
    <n v="117264"/>
    <n v="26524"/>
    <d v="2021-02-16T00:00:00"/>
    <x v="5"/>
    <s v="Q1"/>
    <n v="2021"/>
    <s v="USA"/>
    <x v="0"/>
  </r>
  <r>
    <s v="CUST_ID_045"/>
    <x v="3"/>
    <n v="51801.599999999999"/>
    <n v="6661.5999999999985"/>
    <d v="2021-09-15T00:00:00"/>
    <x v="0"/>
    <s v="Q3"/>
    <n v="2021"/>
    <s v="Germany"/>
    <x v="2"/>
  </r>
  <r>
    <s v="CUST_ID_046"/>
    <x v="5"/>
    <n v="9662.4"/>
    <n v="2952.3999999999996"/>
    <d v="2022-10-19T00:00:00"/>
    <x v="10"/>
    <s v="Q4"/>
    <n v="2021"/>
    <s v="Italy"/>
    <x v="2"/>
  </r>
  <r>
    <s v="CUST_ID_047"/>
    <x v="5"/>
    <n v="597408"/>
    <n v="435128"/>
    <d v="2021-12-31T00:00:00"/>
    <x v="4"/>
    <s v="Q4"/>
    <n v="2021"/>
    <s v="India"/>
    <x v="2"/>
  </r>
  <r>
    <s v="CUST_ID_037"/>
    <x v="0"/>
    <n v="7707.35"/>
    <n v="1912.3500000000004"/>
    <d v="2022-08-17T00:00:00"/>
    <x v="2"/>
    <s v="Q3"/>
    <n v="2021"/>
    <s v="Germany"/>
    <x v="4"/>
  </r>
  <r>
    <s v="CUST_ID_004"/>
    <x v="1"/>
    <n v="15620.85"/>
    <n v="3875.8500000000004"/>
    <d v="2022-09-28T00:00:00"/>
    <x v="0"/>
    <s v="Q3"/>
    <n v="2021"/>
    <s v="France"/>
    <x v="0"/>
  </r>
  <r>
    <s v="CUST_ID_035"/>
    <x v="5"/>
    <n v="7707.35"/>
    <n v="1912.3500000000004"/>
    <d v="2021-03-28T00:00:00"/>
    <x v="9"/>
    <s v="Q1"/>
    <n v="2021"/>
    <s v="England"/>
    <x v="4"/>
  </r>
  <r>
    <s v="CUST_ID_048"/>
    <x v="4"/>
    <n v="136756.4"/>
    <n v="101676.4"/>
    <d v="2022-05-24T00:00:00"/>
    <x v="6"/>
    <s v="Q2"/>
    <n v="2021"/>
    <s v="Japan"/>
    <x v="3"/>
  </r>
  <r>
    <s v="CUST_ID_049"/>
    <x v="0"/>
    <n v="239400"/>
    <n v="52200"/>
    <d v="2021-04-08T00:00:00"/>
    <x v="8"/>
    <s v="Q2"/>
    <n v="2021"/>
    <s v="USA"/>
    <x v="1"/>
  </r>
  <r>
    <s v="CUST_ID_050"/>
    <x v="0"/>
    <n v="313500"/>
    <n v="171050"/>
    <d v="2021-01-20T00:00:00"/>
    <x v="1"/>
    <s v="Q1"/>
    <n v="2021"/>
    <s v="Canada"/>
    <x v="2"/>
  </r>
  <r>
    <s v="CUST_ID_004"/>
    <x v="1"/>
    <n v="408310"/>
    <n v="389030"/>
    <d v="2021-01-09T00:00:00"/>
    <x v="1"/>
    <s v="Q1"/>
    <n v="2021"/>
    <s v="France"/>
    <x v="1"/>
  </r>
  <r>
    <s v="CUST_ID_004"/>
    <x v="1"/>
    <n v="26391"/>
    <n v="12501"/>
    <d v="2021-12-16T00:00:00"/>
    <x v="4"/>
    <s v="Q4"/>
    <n v="2021"/>
    <s v="France"/>
    <x v="0"/>
  </r>
  <r>
    <s v="CUST_ID_051"/>
    <x v="1"/>
    <n v="83600"/>
    <n v="-880"/>
    <d v="2021-07-25T00:00:00"/>
    <x v="3"/>
    <s v="Q3"/>
    <n v="2021"/>
    <s v="England"/>
    <x v="0"/>
  </r>
  <r>
    <s v="CUST_ID_004"/>
    <x v="1"/>
    <n v="34238"/>
    <n v="16218"/>
    <d v="2021-09-30T00:00:00"/>
    <x v="0"/>
    <s v="Q3"/>
    <n v="2021"/>
    <s v="France"/>
    <x v="2"/>
  </r>
  <r>
    <s v="CUST_ID_052"/>
    <x v="1"/>
    <n v="14204.4"/>
    <n v="3524.3999999999996"/>
    <d v="2021-07-22T00:00:00"/>
    <x v="3"/>
    <s v="Q3"/>
    <n v="2021"/>
    <s v="France"/>
    <x v="2"/>
  </r>
  <r>
    <s v="CUST_ID_038"/>
    <x v="1"/>
    <n v="30153"/>
    <n v="8993"/>
    <d v="2022-03-16T00:00:00"/>
    <x v="9"/>
    <s v="Q1"/>
    <n v="2021"/>
    <s v="Italy"/>
    <x v="4"/>
  </r>
  <r>
    <s v="CUST_ID_053"/>
    <x v="2"/>
    <n v="83600"/>
    <n v="-880"/>
    <d v="2021-04-25T00:00:00"/>
    <x v="8"/>
    <s v="Q2"/>
    <n v="2021"/>
    <s v="Germany"/>
    <x v="4"/>
  </r>
  <r>
    <s v="CUST_ID_054"/>
    <x v="2"/>
    <n v="19627"/>
    <n v="9297"/>
    <d v="2022-10-28T00:00:00"/>
    <x v="10"/>
    <s v="Q4"/>
    <n v="2021"/>
    <s v="Italy"/>
    <x v="0"/>
  </r>
  <r>
    <s v="CUST_ID_055"/>
    <x v="3"/>
    <n v="26391"/>
    <n v="12501"/>
    <d v="2021-09-07T00:00:00"/>
    <x v="0"/>
    <s v="Q3"/>
    <n v="2021"/>
    <s v="India"/>
    <x v="0"/>
  </r>
  <r>
    <s v="CUST_ID_033"/>
    <x v="3"/>
    <n v="24035"/>
    <n v="11385"/>
    <d v="2021-07-03T00:00:00"/>
    <x v="3"/>
    <s v="Q3"/>
    <n v="2021"/>
    <s v="USA"/>
    <x v="1"/>
  </r>
  <r>
    <s v="CUST_ID_056"/>
    <x v="3"/>
    <n v="43643"/>
    <n v="20673"/>
    <d v="2021-07-31T00:00:00"/>
    <x v="3"/>
    <s v="Q3"/>
    <n v="2021"/>
    <s v="Japan"/>
    <x v="2"/>
  </r>
  <r>
    <s v="CUST_ID_047"/>
    <x v="5"/>
    <n v="408310"/>
    <n v="339030"/>
    <d v="2022-01-11T00:00:00"/>
    <x v="1"/>
    <s v="Q1"/>
    <n v="2021"/>
    <s v="India"/>
    <x v="0"/>
  </r>
  <r>
    <s v="CUST_ID_036"/>
    <x v="4"/>
    <n v="25932.720000000001"/>
    <n v="19035.72"/>
    <d v="2022-01-01T00:00:00"/>
    <x v="1"/>
    <s v="Q1"/>
    <n v="2021"/>
    <s v="France"/>
    <x v="1"/>
  </r>
  <r>
    <s v="CUST_ID_057"/>
    <x v="4"/>
    <n v="1730.54"/>
    <n v="415.53999999999996"/>
    <d v="2021-04-15T00:00:00"/>
    <x v="8"/>
    <s v="Q2"/>
    <n v="2021"/>
    <s v="USA"/>
    <x v="3"/>
  </r>
  <r>
    <s v="CUST_ID_058"/>
    <x v="4"/>
    <n v="104222.5"/>
    <n v="97782.5"/>
    <d v="2022-08-16T00:00:00"/>
    <x v="2"/>
    <s v="Q3"/>
    <n v="2021"/>
    <s v="Canada"/>
    <x v="4"/>
  </r>
  <r>
    <s v="CUST_ID_059"/>
    <x v="0"/>
    <n v="9231.74"/>
    <n v="2216.7399999999998"/>
    <d v="2022-09-25T00:00:00"/>
    <x v="0"/>
    <s v="Q3"/>
    <n v="2021"/>
    <s v="England"/>
    <x v="0"/>
  </r>
  <r>
    <s v="CUST_ID_060"/>
    <x v="1"/>
    <n v="25932.720000000001"/>
    <n v="19035.72"/>
    <d v="2021-04-25T00:00:00"/>
    <x v="8"/>
    <s v="Q2"/>
    <n v="2021"/>
    <s v="France"/>
    <x v="0"/>
  </r>
  <r>
    <s v="CUST_ID_027"/>
    <x v="1"/>
    <n v="239183"/>
    <n v="150163"/>
    <d v="2022-04-19T00:00:00"/>
    <x v="8"/>
    <s v="Q2"/>
    <n v="2021"/>
    <s v="England"/>
    <x v="0"/>
  </r>
  <r>
    <s v="CUST_ID_061"/>
    <x v="2"/>
    <n v="344322"/>
    <n v="239072"/>
    <d v="2021-05-25T00:00:00"/>
    <x v="6"/>
    <s v="Q2"/>
    <n v="2021"/>
    <s v="Germany"/>
    <x v="2"/>
  </r>
  <r>
    <s v="CUST_ID_054"/>
    <x v="2"/>
    <n v="683004"/>
    <n v="543244"/>
    <d v="2021-09-24T00:00:00"/>
    <x v="0"/>
    <s v="Q3"/>
    <n v="2021"/>
    <s v="Italy"/>
    <x v="2"/>
  </r>
  <r>
    <s v="CUST_ID_062"/>
    <x v="3"/>
    <n v="344322"/>
    <n v="239072"/>
    <d v="2021-08-20T00:00:00"/>
    <x v="2"/>
    <s v="Q3"/>
    <n v="2021"/>
    <s v="Italy"/>
    <x v="0"/>
  </r>
  <r>
    <s v="CUST_ID_034"/>
    <x v="3"/>
    <n v="21112.400000000001"/>
    <n v="9882.4000000000015"/>
    <d v="2022-07-25T00:00:00"/>
    <x v="3"/>
    <s v="Q3"/>
    <n v="2021"/>
    <s v="Canada"/>
    <x v="3"/>
  </r>
  <r>
    <s v="CUST_ID_063"/>
    <x v="3"/>
    <n v="686952"/>
    <n v="577952"/>
    <d v="2021-03-05T00:00:00"/>
    <x v="9"/>
    <s v="Q1"/>
    <n v="2021"/>
    <s v="India"/>
    <x v="0"/>
  </r>
  <r>
    <s v="CUST_ID_064"/>
    <x v="5"/>
    <n v="239183"/>
    <n v="150163"/>
    <d v="2022-02-21T00:00:00"/>
    <x v="5"/>
    <s v="Q1"/>
    <n v="2021"/>
    <s v="Japan"/>
    <x v="0"/>
  </r>
  <r>
    <s v="CUST_ID_065"/>
    <x v="5"/>
    <n v="9231.74"/>
    <n v="2216.7399999999998"/>
    <d v="2021-09-08T00:00:00"/>
    <x v="0"/>
    <s v="Q3"/>
    <n v="2021"/>
    <s v="USA"/>
    <x v="0"/>
  </r>
  <r>
    <s v="CUST_ID_065"/>
    <x v="5"/>
    <n v="683004"/>
    <n v="543244"/>
    <d v="2022-08-21T00:00:00"/>
    <x v="2"/>
    <s v="Q3"/>
    <n v="2021"/>
    <s v="USA"/>
    <x v="0"/>
  </r>
  <r>
    <s v="CUST_ID_059"/>
    <x v="0"/>
    <n v="33031.599999999999"/>
    <n v="15461.599999999999"/>
    <d v="2022-05-18T00:00:00"/>
    <x v="6"/>
    <s v="Q2"/>
    <n v="2021"/>
    <s v="England"/>
    <x v="2"/>
  </r>
  <r>
    <s v="CUST_ID_052"/>
    <x v="1"/>
    <n v="33031.599999999999"/>
    <n v="15461.599999999999"/>
    <d v="2022-08-29T00:00:00"/>
    <x v="2"/>
    <s v="Q3"/>
    <n v="2021"/>
    <s v="France"/>
    <x v="1"/>
  </r>
  <r>
    <s v="CUST_ID_066"/>
    <x v="4"/>
    <n v="34112.400000000001"/>
    <n v="15772.400000000001"/>
    <d v="2022-04-23T00:00:00"/>
    <x v="8"/>
    <s v="Q2"/>
    <n v="2021"/>
    <s v="Canada"/>
    <x v="0"/>
  </r>
  <r>
    <s v="CUST_ID_052"/>
    <x v="1"/>
    <n v="6711.81"/>
    <n v="1556.8100000000004"/>
    <d v="2022-02-06T00:00:00"/>
    <x v="5"/>
    <s v="Q1"/>
    <n v="2021"/>
    <s v="France"/>
    <x v="0"/>
  </r>
  <r>
    <s v="CUST_ID_067"/>
    <x v="3"/>
    <n v="24719.4"/>
    <n v="18074.400000000001"/>
    <d v="2021-01-02T00:00:00"/>
    <x v="1"/>
    <s v="Q1"/>
    <n v="2021"/>
    <s v="England"/>
    <x v="3"/>
  </r>
  <r>
    <s v="CUST_ID_068"/>
    <x v="0"/>
    <n v="290625"/>
    <n v="-9375"/>
    <d v="2021-03-13T00:00:00"/>
    <x v="9"/>
    <s v="Q1"/>
    <n v="2021"/>
    <s v="France"/>
    <x v="2"/>
  </r>
  <r>
    <s v="CUST_ID_026"/>
    <x v="1"/>
    <n v="40887.449999999997"/>
    <n v="11577.449999999997"/>
    <d v="2021-09-12T00:00:00"/>
    <x v="0"/>
    <s v="Q3"/>
    <n v="2021"/>
    <s v="Canada"/>
    <x v="0"/>
  </r>
  <r>
    <s v="CUST_ID_069"/>
    <x v="1"/>
    <n v="313317"/>
    <n v="182567"/>
    <d v="2021-06-16T00:00:00"/>
    <x v="11"/>
    <s v="Q2"/>
    <n v="2021"/>
    <s v="Germany"/>
    <x v="0"/>
  </r>
  <r>
    <s v="CUST_ID_070"/>
    <x v="1"/>
    <n v="391716"/>
    <n v="190716"/>
    <d v="2022-05-19T00:00:00"/>
    <x v="6"/>
    <s v="Q2"/>
    <n v="2021"/>
    <s v="Italy"/>
    <x v="1"/>
  </r>
  <r>
    <s v="CUST_ID_071"/>
    <x v="1"/>
    <n v="30835.08"/>
    <n v="22546.080000000002"/>
    <d v="2021-04-07T00:00:00"/>
    <x v="8"/>
    <s v="Q2"/>
    <n v="2021"/>
    <s v="India"/>
    <x v="3"/>
  </r>
  <r>
    <s v="CUST_ID_072"/>
    <x v="1"/>
    <n v="13833.75"/>
    <n v="3208.75"/>
    <d v="2022-06-14T00:00:00"/>
    <x v="11"/>
    <s v="Q2"/>
    <n v="2021"/>
    <s v="Japan"/>
    <x v="2"/>
  </r>
  <r>
    <s v="CUST_ID_041"/>
    <x v="2"/>
    <n v="26430.6"/>
    <n v="12220.599999999999"/>
    <d v="2022-02-11T00:00:00"/>
    <x v="5"/>
    <s v="Q1"/>
    <n v="2021"/>
    <s v="USA"/>
    <x v="1"/>
  </r>
  <r>
    <s v="CUST_ID_028"/>
    <x v="2"/>
    <n v="10936.8"/>
    <n v="5056.7999999999993"/>
    <d v="2022-05-05T00:00:00"/>
    <x v="6"/>
    <s v="Q2"/>
    <n v="2021"/>
    <s v="France"/>
    <x v="0"/>
  </r>
  <r>
    <s v="CUST_ID_073"/>
    <x v="5"/>
    <n v="115552.5"/>
    <n v="96272.5"/>
    <d v="2022-06-06T00:00:00"/>
    <x v="11"/>
    <s v="Q2"/>
    <n v="2021"/>
    <s v="USA"/>
    <x v="1"/>
  </r>
  <r>
    <s v="CUST_ID_074"/>
    <x v="0"/>
    <n v="354108"/>
    <n v="133358"/>
    <d v="2021-08-13T00:00:00"/>
    <x v="2"/>
    <s v="Q3"/>
    <n v="2021"/>
    <s v="Canada"/>
    <x v="2"/>
  </r>
  <r>
    <s v="CUST_ID_072"/>
    <x v="1"/>
    <n v="15513.96"/>
    <n v="3468.9599999999991"/>
    <d v="2022-11-14T00:00:00"/>
    <x v="7"/>
    <s v="Q4"/>
    <n v="2021"/>
    <s v="Japan"/>
    <x v="3"/>
  </r>
  <r>
    <s v="CUST_ID_072"/>
    <x v="1"/>
    <n v="691012"/>
    <n v="533052"/>
    <d v="2021-10-21T00:00:00"/>
    <x v="10"/>
    <s v="Q4"/>
    <n v="2021"/>
    <s v="Japan"/>
    <x v="1"/>
  </r>
  <r>
    <s v="CUST_ID_040"/>
    <x v="1"/>
    <n v="12532.24"/>
    <n v="2802.24"/>
    <d v="2021-02-16T00:00:00"/>
    <x v="5"/>
    <s v="Q1"/>
    <n v="2021"/>
    <s v="Japan"/>
    <x v="4"/>
  </r>
  <r>
    <s v="CUST_ID_061"/>
    <x v="2"/>
    <n v="106536"/>
    <n v="10036"/>
    <d v="2022-11-12T00:00:00"/>
    <x v="7"/>
    <s v="Q4"/>
    <n v="2021"/>
    <s v="Germany"/>
    <x v="1"/>
  </r>
  <r>
    <s v="CUST_ID_075"/>
    <x v="3"/>
    <n v="223008"/>
    <n v="202149"/>
    <d v="2022-06-30T00:00:00"/>
    <x v="11"/>
    <s v="Q2"/>
    <n v="2021"/>
    <s v="England"/>
    <x v="0"/>
  </r>
  <r>
    <s v="CUST_ID_076"/>
    <x v="5"/>
    <n v="15180"/>
    <n v="11055"/>
    <d v="2022-10-07T00:00:00"/>
    <x v="10"/>
    <s v="Q4"/>
    <n v="2021"/>
    <s v="France"/>
    <x v="4"/>
  </r>
  <r>
    <s v="CUST_ID_077"/>
    <x v="4"/>
    <n v="134007.64000000001"/>
    <n v="102906.64"/>
    <d v="2022-02-17T00:00:00"/>
    <x v="5"/>
    <s v="Q1"/>
    <n v="2021"/>
    <s v="Germany"/>
    <x v="2"/>
  </r>
  <r>
    <s v="CUST_ID_078"/>
    <x v="0"/>
    <n v="87906"/>
    <n v="7406"/>
    <d v="2021-06-14T00:00:00"/>
    <x v="11"/>
    <s v="Q2"/>
    <n v="2021"/>
    <s v="Italy"/>
    <x v="3"/>
  </r>
  <r>
    <s v="CUST_ID_079"/>
    <x v="0"/>
    <n v="211233.75"/>
    <n v="-11606.25"/>
    <d v="2022-04-29T00:00:00"/>
    <x v="8"/>
    <s v="Q2"/>
    <n v="2021"/>
    <s v="India"/>
    <x v="0"/>
  </r>
  <r>
    <s v="CUST_ID_043"/>
    <x v="0"/>
    <n v="10262.07"/>
    <n v="2207.0699999999997"/>
    <d v="2022-11-30T00:00:00"/>
    <x v="7"/>
    <s v="Q4"/>
    <n v="2021"/>
    <s v="England"/>
    <x v="2"/>
  </r>
  <r>
    <s v="CUST_ID_080"/>
    <x v="0"/>
    <n v="91182"/>
    <n v="7682"/>
    <d v="2022-03-19T00:00:00"/>
    <x v="9"/>
    <s v="Q1"/>
    <n v="2021"/>
    <s v="Japan"/>
    <x v="0"/>
  </r>
  <r>
    <s v="CUST_ID_071"/>
    <x v="1"/>
    <n v="4007.64"/>
    <n v="2906.64"/>
    <d v="2022-06-25T00:00:00"/>
    <x v="11"/>
    <s v="Q2"/>
    <n v="2021"/>
    <s v="India"/>
    <x v="4"/>
  </r>
  <r>
    <s v="CUST_ID_014"/>
    <x v="1"/>
    <n v="19383"/>
    <n v="14058"/>
    <d v="2022-03-09T00:00:00"/>
    <x v="9"/>
    <s v="Q1"/>
    <n v="2021"/>
    <s v="Italy"/>
    <x v="2"/>
  </r>
  <r>
    <s v="CUST_ID_081"/>
    <x v="3"/>
    <n v="24395.279999999999"/>
    <n v="17693.28"/>
    <d v="2021-07-11T00:00:00"/>
    <x v="3"/>
    <s v="Q3"/>
    <n v="2021"/>
    <s v="USA"/>
    <x v="4"/>
  </r>
  <r>
    <s v="CUST_ID_082"/>
    <x v="5"/>
    <n v="13240.5"/>
    <n v="3540.5"/>
    <d v="2022-08-16T00:00:00"/>
    <x v="2"/>
    <s v="Q3"/>
    <n v="2021"/>
    <s v="Canada"/>
    <x v="2"/>
  </r>
  <r>
    <s v="CUST_ID_008"/>
    <x v="3"/>
    <n v="48812.4"/>
    <n v="21992.400000000001"/>
    <d v="2022-01-20T00:00:00"/>
    <x v="1"/>
    <s v="Q1"/>
    <n v="2021"/>
    <s v="Japan"/>
    <x v="0"/>
  </r>
  <r>
    <s v="CUST_ID_083"/>
    <x v="5"/>
    <n v="3341.52"/>
    <n v="2423.52"/>
    <d v="2021-11-12T00:00:00"/>
    <x v="7"/>
    <s v="Q4"/>
    <n v="2021"/>
    <s v="England"/>
    <x v="4"/>
  </r>
  <r>
    <s v="CUST_ID_084"/>
    <x v="4"/>
    <n v="4168.8"/>
    <n v="3010.8"/>
    <d v="2022-08-21T00:00:00"/>
    <x v="2"/>
    <s v="Q3"/>
    <n v="2021"/>
    <s v="France"/>
    <x v="4"/>
  </r>
  <r>
    <s v="CUST_ID_005"/>
    <x v="1"/>
    <n v="4168.8"/>
    <n v="3010.8"/>
    <d v="2022-01-13T00:00:00"/>
    <x v="1"/>
    <s v="Q1"/>
    <n v="2021"/>
    <s v="Germany"/>
    <x v="3"/>
  </r>
  <r>
    <s v="CUST_ID_085"/>
    <x v="4"/>
    <n v="166725"/>
    <n v="138885"/>
    <d v="2022-04-28T00:00:00"/>
    <x v="8"/>
    <s v="Q2"/>
    <n v="2021"/>
    <s v="Germany"/>
    <x v="3"/>
  </r>
  <r>
    <s v="CUST_ID_013"/>
    <x v="0"/>
    <n v="202950"/>
    <n v="-13530"/>
    <d v="2022-04-21T00:00:00"/>
    <x v="8"/>
    <s v="Q2"/>
    <n v="2021"/>
    <s v="Germany"/>
    <x v="0"/>
  </r>
  <r>
    <s v="CUST_ID_002"/>
    <x v="1"/>
    <n v="29254.5"/>
    <n v="7584.5"/>
    <d v="2021-09-25T00:00:00"/>
    <x v="0"/>
    <s v="Q3"/>
    <n v="2021"/>
    <s v="Canada"/>
    <x v="0"/>
  </r>
  <r>
    <s v="CUST_ID_086"/>
    <x v="2"/>
    <n v="619380"/>
    <n v="445880"/>
    <d v="2022-04-11T00:00:00"/>
    <x v="8"/>
    <s v="Q2"/>
    <n v="2021"/>
    <s v="Italy"/>
    <x v="0"/>
  </r>
  <r>
    <s v="CUST_ID_007"/>
    <x v="2"/>
    <n v="215550"/>
    <n v="-14370"/>
    <d v="2021-02-08T00:00:00"/>
    <x v="5"/>
    <s v="Q1"/>
    <n v="2021"/>
    <s v="India"/>
    <x v="0"/>
  </r>
  <r>
    <s v="CUST_ID_075"/>
    <x v="3"/>
    <n v="619380"/>
    <n v="445880"/>
    <d v="2022-06-18T00:00:00"/>
    <x v="11"/>
    <s v="Q2"/>
    <n v="2021"/>
    <s v="England"/>
    <x v="2"/>
  </r>
  <r>
    <s v="CUST_ID_087"/>
    <x v="3"/>
    <n v="29254.5"/>
    <n v="7584.5"/>
    <d v="2022-08-11T00:00:00"/>
    <x v="2"/>
    <s v="Q3"/>
    <n v="2021"/>
    <s v="India"/>
    <x v="0"/>
  </r>
  <r>
    <s v="CUST_ID_056"/>
    <x v="3"/>
    <n v="589050"/>
    <n v="402850"/>
    <d v="2022-07-23T00:00:00"/>
    <x v="3"/>
    <s v="Q3"/>
    <n v="2021"/>
    <s v="Japan"/>
    <x v="1"/>
  </r>
  <r>
    <s v="CUST_ID_088"/>
    <x v="4"/>
    <n v="12794.64"/>
    <n v="9200.64"/>
    <d v="2022-04-21T00:00:00"/>
    <x v="8"/>
    <s v="Q2"/>
    <n v="2021"/>
    <s v="Japan"/>
    <x v="2"/>
  </r>
  <r>
    <s v="CUST_ID_025"/>
    <x v="1"/>
    <n v="12794.64"/>
    <n v="9200.64"/>
    <d v="2022-04-26T00:00:00"/>
    <x v="8"/>
    <s v="Q2"/>
    <n v="2021"/>
    <s v="USA"/>
    <x v="0"/>
  </r>
  <r>
    <s v="CUST_ID_089"/>
    <x v="3"/>
    <n v="10733.4"/>
    <n v="7718.4"/>
    <d v="2021-06-22T00:00:00"/>
    <x v="11"/>
    <s v="Q2"/>
    <n v="2021"/>
    <s v="USA"/>
    <x v="0"/>
  </r>
  <r>
    <s v="CUST_ID_090"/>
    <x v="4"/>
    <n v="20826"/>
    <n v="5226"/>
    <d v="2021-01-23T00:00:00"/>
    <x v="1"/>
    <s v="Q1"/>
    <n v="2021"/>
    <s v="Canada"/>
    <x v="0"/>
  </r>
  <r>
    <s v="CUST_ID_066"/>
    <x v="4"/>
    <n v="16858.38"/>
    <n v="3328.380000000001"/>
    <d v="2022-03-25T00:00:00"/>
    <x v="9"/>
    <s v="Q1"/>
    <n v="2021"/>
    <s v="Canada"/>
    <x v="2"/>
  </r>
  <r>
    <s v="CUST_ID_037"/>
    <x v="0"/>
    <n v="53257.599999999999"/>
    <n v="23337.599999999999"/>
    <d v="2022-12-30T00:00:00"/>
    <x v="4"/>
    <s v="Q4"/>
    <n v="2021"/>
    <s v="Germany"/>
    <x v="3"/>
  </r>
  <r>
    <s v="CUST_ID_072"/>
    <x v="1"/>
    <n v="53257.599999999999"/>
    <n v="23337.599999999999"/>
    <d v="2022-04-15T00:00:00"/>
    <x v="8"/>
    <s v="Q2"/>
    <n v="2021"/>
    <s v="Japan"/>
    <x v="2"/>
  </r>
  <r>
    <s v="CUST_ID_054"/>
    <x v="2"/>
    <n v="49929"/>
    <n v="21879"/>
    <d v="2021-10-09T00:00:00"/>
    <x v="10"/>
    <s v="Q4"/>
    <n v="2021"/>
    <s v="Italy"/>
    <x v="2"/>
  </r>
  <r>
    <s v="CUST_ID_091"/>
    <x v="2"/>
    <n v="8744.25"/>
    <n v="2194.25"/>
    <d v="2021-10-31T00:00:00"/>
    <x v="10"/>
    <s v="Q4"/>
    <n v="2021"/>
    <s v="England"/>
    <x v="1"/>
  </r>
  <r>
    <s v="CUST_ID_031"/>
    <x v="2"/>
    <n v="107156"/>
    <n v="17716"/>
    <d v="2022-04-03T00:00:00"/>
    <x v="8"/>
    <s v="Q2"/>
    <n v="2021"/>
    <s v="India"/>
    <x v="0"/>
  </r>
  <r>
    <s v="CUST_ID_055"/>
    <x v="3"/>
    <n v="52243"/>
    <n v="22893"/>
    <d v="2022-03-09T00:00:00"/>
    <x v="9"/>
    <s v="Q1"/>
    <n v="2021"/>
    <s v="India"/>
    <x v="0"/>
  </r>
  <r>
    <s v="CUST_ID_092"/>
    <x v="5"/>
    <n v="105353.75"/>
    <n v="91713.75"/>
    <d v="2021-10-24T00:00:00"/>
    <x v="10"/>
    <s v="Q4"/>
    <n v="2021"/>
    <s v="France"/>
    <x v="0"/>
  </r>
  <r>
    <s v="CUST_ID_093"/>
    <x v="5"/>
    <n v="107156"/>
    <n v="67716"/>
    <d v="2022-10-03T00:00:00"/>
    <x v="10"/>
    <s v="Q4"/>
    <n v="2021"/>
    <s v="Germany"/>
    <x v="2"/>
  </r>
  <r>
    <s v="CUST_ID_027"/>
    <x v="1"/>
    <n v="2367.4"/>
    <n v="467.40000000000009"/>
    <d v="2022-04-30T00:00:00"/>
    <x v="8"/>
    <s v="Q2"/>
    <n v="2021"/>
    <s v="England"/>
    <x v="4"/>
  </r>
  <r>
    <s v="CUST_ID_094"/>
    <x v="4"/>
    <n v="265760"/>
    <n v="225840"/>
    <d v="2021-11-11T00:00:00"/>
    <x v="7"/>
    <s v="Q4"/>
    <n v="2021"/>
    <s v="Italy"/>
    <x v="2"/>
  </r>
  <r>
    <s v="CUST_ID_049"/>
    <x v="0"/>
    <n v="30184"/>
    <n v="13034"/>
    <d v="2022-12-12T00:00:00"/>
    <x v="4"/>
    <s v="Q4"/>
    <n v="2021"/>
    <s v="USA"/>
    <x v="1"/>
  </r>
  <r>
    <s v="CUST_ID_078"/>
    <x v="0"/>
    <n v="313104"/>
    <n v="116604"/>
    <d v="2022-07-17T00:00:00"/>
    <x v="3"/>
    <s v="Q3"/>
    <n v="2021"/>
    <s v="Italy"/>
    <x v="0"/>
  </r>
  <r>
    <s v="CUST_ID_040"/>
    <x v="1"/>
    <n v="30184"/>
    <n v="13034"/>
    <d v="2022-10-19T00:00:00"/>
    <x v="10"/>
    <s v="Q4"/>
    <n v="2021"/>
    <s v="Japan"/>
    <x v="3"/>
  </r>
  <r>
    <s v="CUST_ID_044"/>
    <x v="1"/>
    <n v="5016"/>
    <n v="1216"/>
    <d v="2022-05-17T00:00:00"/>
    <x v="6"/>
    <s v="Q2"/>
    <n v="2021"/>
    <s v="France"/>
    <x v="4"/>
  </r>
  <r>
    <s v="CUST_ID_055"/>
    <x v="3"/>
    <n v="191884"/>
    <n v="129904"/>
    <d v="2021-02-28T00:00:00"/>
    <x v="5"/>
    <s v="Q1"/>
    <n v="2021"/>
    <s v="India"/>
    <x v="1"/>
  </r>
  <r>
    <s v="CUST_ID_046"/>
    <x v="5"/>
    <n v="33633.599999999999"/>
    <n v="8153.5999999999985"/>
    <d v="2021-12-16T00:00:00"/>
    <x v="4"/>
    <s v="Q4"/>
    <n v="2021"/>
    <s v="Italy"/>
    <x v="0"/>
  </r>
  <r>
    <s v="CUST_ID_095"/>
    <x v="5"/>
    <n v="29156.16"/>
    <n v="20873.16"/>
    <d v="2021-01-07T00:00:00"/>
    <x v="1"/>
    <s v="Q1"/>
    <n v="2021"/>
    <s v="India"/>
    <x v="4"/>
  </r>
  <r>
    <s v="CUST_ID_048"/>
    <x v="4"/>
    <n v="7690.8"/>
    <n v="3270.8"/>
    <d v="2021-03-22T00:00:00"/>
    <x v="9"/>
    <s v="Q1"/>
    <n v="2021"/>
    <s v="Japan"/>
    <x v="0"/>
  </r>
  <r>
    <s v="CUST_ID_096"/>
    <x v="2"/>
    <n v="8613"/>
    <n v="2013"/>
    <d v="2022-07-04T00:00:00"/>
    <x v="3"/>
    <s v="Q3"/>
    <n v="2021"/>
    <s v="Japan"/>
    <x v="2"/>
  </r>
  <r>
    <s v="CUST_ID_097"/>
    <x v="2"/>
    <n v="679905"/>
    <n v="528655"/>
    <d v="2022-08-21T00:00:00"/>
    <x v="2"/>
    <s v="Q3"/>
    <n v="2021"/>
    <s v="USA"/>
    <x v="4"/>
  </r>
  <r>
    <s v="CUST_ID_098"/>
    <x v="5"/>
    <n v="18478.8"/>
    <n v="13168.8"/>
    <d v="2021-01-21T00:00:00"/>
    <x v="1"/>
    <s v="Q1"/>
    <n v="2021"/>
    <s v="Canada"/>
    <x v="1"/>
  </r>
  <r>
    <s v="CUST_ID_057"/>
    <x v="4"/>
    <n v="148035.92000000001"/>
    <n v="103055.92"/>
    <d v="2021-06-04T00:00:00"/>
    <x v="11"/>
    <s v="Q2"/>
    <n v="2021"/>
    <s v="USA"/>
    <x v="0"/>
  </r>
  <r>
    <s v="CUST_ID_099"/>
    <x v="0"/>
    <n v="18035.919999999998"/>
    <n v="3055.9199999999983"/>
    <d v="2022-03-06T00:00:00"/>
    <x v="9"/>
    <s v="Q1"/>
    <n v="2021"/>
    <s v="England"/>
    <x v="2"/>
  </r>
  <r>
    <s v="CUST_ID_018"/>
    <x v="5"/>
    <n v="20794.8"/>
    <n v="14749.8"/>
    <d v="2022-08-07T00:00:00"/>
    <x v="2"/>
    <s v="Q3"/>
    <n v="2021"/>
    <s v="Canada"/>
    <x v="2"/>
  </r>
  <r>
    <s v="CUST_ID_085"/>
    <x v="4"/>
    <n v="109972.5"/>
    <n v="87212.5"/>
    <d v="2021-03-28T00:00:00"/>
    <x v="9"/>
    <s v="Q1"/>
    <n v="2021"/>
    <s v="Germany"/>
    <x v="1"/>
  </r>
  <r>
    <s v="CUST_ID_100"/>
    <x v="4"/>
    <n v="303257.5"/>
    <n v="274737.5"/>
    <d v="2022-07-08T00:00:00"/>
    <x v="3"/>
    <s v="Q3"/>
    <n v="2021"/>
    <s v="France"/>
    <x v="1"/>
  </r>
  <r>
    <s v="CUST_ID_049"/>
    <x v="0"/>
    <n v="10396.540000000001"/>
    <n v="1761.5400000000009"/>
    <d v="2021-11-16T00:00:00"/>
    <x v="7"/>
    <s v="Q4"/>
    <n v="2021"/>
    <s v="USA"/>
    <x v="4"/>
  </r>
  <r>
    <s v="CUST_ID_006"/>
    <x v="1"/>
    <n v="31863"/>
    <n v="7163"/>
    <d v="2021-04-01T00:00:00"/>
    <x v="8"/>
    <s v="Q2"/>
    <n v="2021"/>
    <s v="Italy"/>
    <x v="2"/>
  </r>
  <r>
    <s v="CUST_ID_006"/>
    <x v="1"/>
    <n v="22484.7"/>
    <n v="5054.7000000000007"/>
    <d v="2022-04-22T00:00:00"/>
    <x v="8"/>
    <s v="Q2"/>
    <n v="2021"/>
    <s v="Italy"/>
    <x v="0"/>
  </r>
  <r>
    <s v="CUST_ID_060"/>
    <x v="1"/>
    <n v="22931.040000000001"/>
    <n v="16265.04"/>
    <d v="2021-05-01T00:00:00"/>
    <x v="6"/>
    <s v="Q2"/>
    <n v="2021"/>
    <s v="France"/>
    <x v="3"/>
  </r>
  <r>
    <s v="CUST_ID_052"/>
    <x v="1"/>
    <n v="578522"/>
    <n v="336322"/>
    <d v="2022-06-19T00:00:00"/>
    <x v="11"/>
    <s v="Q2"/>
    <n v="2021"/>
    <s v="France"/>
    <x v="3"/>
  </r>
  <r>
    <s v="CUST_ID_101"/>
    <x v="2"/>
    <n v="69402"/>
    <n v="2152"/>
    <d v="2022-01-08T00:00:00"/>
    <x v="1"/>
    <s v="Q1"/>
    <n v="2021"/>
    <s v="Germany"/>
    <x v="1"/>
  </r>
  <r>
    <s v="CUST_ID_102"/>
    <x v="2"/>
    <n v="654288"/>
    <n v="520288"/>
    <d v="2022-09-03T00:00:00"/>
    <x v="0"/>
    <s v="Q3"/>
    <n v="2021"/>
    <s v="Italy"/>
    <x v="0"/>
  </r>
  <r>
    <s v="CUST_ID_063"/>
    <x v="3"/>
    <n v="109402"/>
    <n v="2152"/>
    <d v="2022-10-19T00:00:00"/>
    <x v="10"/>
    <s v="Q4"/>
    <n v="2021"/>
    <s v="India"/>
    <x v="2"/>
  </r>
  <r>
    <s v="CUST_ID_008"/>
    <x v="3"/>
    <n v="385581"/>
    <n v="252521"/>
    <d v="2022-01-19T00:00:00"/>
    <x v="1"/>
    <s v="Q1"/>
    <n v="2021"/>
    <s v="Japan"/>
    <x v="3"/>
  </r>
  <r>
    <s v="CUST_ID_103"/>
    <x v="5"/>
    <n v="22484.7"/>
    <n v="5054.7000000000007"/>
    <d v="2021-10-07T00:00:00"/>
    <x v="10"/>
    <s v="Q4"/>
    <n v="2021"/>
    <s v="India"/>
    <x v="2"/>
  </r>
  <r>
    <s v="CUST_ID_093"/>
    <x v="5"/>
    <n v="10396.540000000001"/>
    <n v="1761.5400000000009"/>
    <d v="2022-11-30T00:00:00"/>
    <x v="7"/>
    <s v="Q4"/>
    <n v="2021"/>
    <s v="Germany"/>
    <x v="3"/>
  </r>
  <r>
    <s v="CUST_ID_104"/>
    <x v="5"/>
    <n v="24123"/>
    <n v="15423"/>
    <d v="2021-11-21T00:00:00"/>
    <x v="7"/>
    <s v="Q4"/>
    <n v="2021"/>
    <s v="Japan"/>
    <x v="3"/>
  </r>
  <r>
    <s v="CUST_ID_027"/>
    <x v="1"/>
    <n v="4539"/>
    <n v="1869"/>
    <d v="2021-03-21T00:00:00"/>
    <x v="9"/>
    <s v="Q1"/>
    <n v="2021"/>
    <s v="England"/>
    <x v="1"/>
  </r>
  <r>
    <s v="CUST_ID_027"/>
    <x v="1"/>
    <n v="597082.5"/>
    <n v="75262.5"/>
    <d v="2022-09-02T00:00:00"/>
    <x v="0"/>
    <s v="Q3"/>
    <n v="2021"/>
    <s v="England"/>
    <x v="0"/>
  </r>
  <r>
    <s v="CUST_ID_040"/>
    <x v="1"/>
    <n v="639922.5"/>
    <n v="80662.5"/>
    <d v="2021-02-01T00:00:00"/>
    <x v="5"/>
    <s v="Q1"/>
    <n v="2021"/>
    <s v="Japan"/>
    <x v="1"/>
  </r>
  <r>
    <s v="CUST_ID_086"/>
    <x v="2"/>
    <n v="656370"/>
    <n v="304500"/>
    <d v="2022-06-13T00:00:00"/>
    <x v="11"/>
    <s v="Q2"/>
    <n v="2021"/>
    <s v="Italy"/>
    <x v="0"/>
  </r>
  <r>
    <s v="CUST_ID_015"/>
    <x v="2"/>
    <n v="259037.5"/>
    <n v="-33522.5"/>
    <d v="2021-03-02T00:00:00"/>
    <x v="9"/>
    <s v="Q1"/>
    <n v="2021"/>
    <s v="India"/>
    <x v="3"/>
  </r>
  <r>
    <s v="CUST_ID_033"/>
    <x v="3"/>
    <n v="4539"/>
    <n v="1869"/>
    <d v="2021-10-27T00:00:00"/>
    <x v="10"/>
    <s v="Q4"/>
    <n v="2021"/>
    <s v="USA"/>
    <x v="0"/>
  </r>
  <r>
    <s v="CUST_ID_105"/>
    <x v="3"/>
    <n v="313862.5"/>
    <n v="259382.5"/>
    <d v="2021-02-22T00:00:00"/>
    <x v="5"/>
    <s v="Q1"/>
    <n v="2021"/>
    <s v="USA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8E0C95-0F43-4B13-85EB-9FC8249B0330}" name="PivotTable11" cacheId="1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8" rowHeaderCaption="Months">
  <location ref="A33:F40" firstHeaderRow="1" firstDataRow="2" firstDataCol="1"/>
  <pivotFields count="10"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numFmtId="164" showAll="0"/>
    <pivotField numFmtId="164" showAll="0"/>
    <pivotField numFmtId="14" showAll="0"/>
    <pivotField showAll="0">
      <items count="13">
        <item x="1"/>
        <item x="5"/>
        <item x="9"/>
        <item x="8"/>
        <item x="6"/>
        <item x="11"/>
        <item x="3"/>
        <item x="2"/>
        <item x="0"/>
        <item x="10"/>
        <item x="7"/>
        <item x="4"/>
        <item t="default"/>
      </items>
    </pivotField>
    <pivotField showAll="0"/>
    <pivotField showAll="0"/>
    <pivotField showAll="0"/>
    <pivotField axis="axisCol" dataField="1" showAll="0">
      <items count="6">
        <item x="3"/>
        <item x="1"/>
        <item x="2"/>
        <item x="4"/>
        <item x="0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9"/>
  </colFields>
  <colItems count="5">
    <i>
      <x/>
    </i>
    <i>
      <x v="1"/>
    </i>
    <i>
      <x v="2"/>
    </i>
    <i>
      <x v="3"/>
    </i>
    <i>
      <x v="4"/>
    </i>
  </colItems>
  <dataFields count="1">
    <dataField name="Count of Customer Satisfaction Rating" fld="9" subtotal="count" showDataAs="percentOfCol" baseField="0" baseItem="0" numFmtId="9"/>
  </dataFields>
  <formats count="1">
    <format dxfId="0">
      <pivotArea outline="0" collapsedLevelsAreSubtotals="1" fieldPosition="0"/>
    </format>
  </formats>
  <chartFormats count="10">
    <chartFormat chart="13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3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3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3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3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16" format="1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6" format="1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6" format="1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6" format="1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6" format="1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23B853-1864-47F5-84F5-ED7886611BB0}" name="PivotTable6" cacheId="1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Months">
  <location ref="A20:C26" firstHeaderRow="0" firstDataRow="1" firstDataCol="1"/>
  <pivotFields count="10"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numFmtId="164" showAll="0"/>
    <pivotField dataField="1" numFmtId="164" showAll="0"/>
    <pivotField numFmtId="14" showAll="0"/>
    <pivotField showAll="0">
      <items count="13">
        <item x="1"/>
        <item x="5"/>
        <item x="9"/>
        <item x="8"/>
        <item x="6"/>
        <item x="11"/>
        <item x="3"/>
        <item x="2"/>
        <item x="0"/>
        <item x="10"/>
        <item x="7"/>
        <item x="4"/>
        <item t="default"/>
      </items>
    </pivotField>
    <pivotField showAll="0"/>
    <pivotField showAll="0"/>
    <pivotField showAll="0"/>
    <pivotField showAll="0">
      <items count="6">
        <item x="3"/>
        <item x="1"/>
        <item x="2"/>
        <item x="4"/>
        <item x="0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-2"/>
  </colFields>
  <colItems count="2">
    <i>
      <x/>
    </i>
    <i i="1">
      <x v="1"/>
    </i>
  </colItems>
  <dataFields count="2">
    <dataField name="Sum of Sales" fld="2" baseField="0" baseItem="0" numFmtId="164"/>
    <dataField name="Sum of Gross Profit" fld="3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AB9D79-CE92-4366-BBFC-956E850F4F5A}" name="PivotTable1" cacheId="1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Months">
  <location ref="A3:G16" firstHeaderRow="1" firstDataRow="2" firstDataCol="1"/>
  <pivotFields count="10">
    <pivotField showAll="0"/>
    <pivotField axis="axisCol" showAll="0">
      <items count="7">
        <item x="0"/>
        <item x="1"/>
        <item x="2"/>
        <item x="3"/>
        <item x="4"/>
        <item x="5"/>
        <item t="default"/>
      </items>
    </pivotField>
    <pivotField dataField="1" numFmtId="164" showAll="0"/>
    <pivotField numFmtId="164" showAll="0"/>
    <pivotField numFmtId="14" showAll="0"/>
    <pivotField axis="axisRow" showAll="0">
      <items count="13">
        <item x="1"/>
        <item x="5"/>
        <item x="9"/>
        <item x="8"/>
        <item x="6"/>
        <item x="11"/>
        <item x="3"/>
        <item x="2"/>
        <item x="0"/>
        <item x="10"/>
        <item x="7"/>
        <item x="4"/>
        <item t="default"/>
      </items>
    </pivotField>
    <pivotField showAll="0"/>
    <pivotField showAll="0"/>
    <pivotField showAll="0"/>
    <pivotField showAll="0"/>
  </pivotFields>
  <rowFields count="1">
    <field x="5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1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Sum of Sales" fld="2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367A59-9967-4167-BBD0-FD99C2E3A54D}" name="Table1" displayName="Table1" ref="A1:J183" totalsRowShown="0" headerRowDxfId="1" dataDxfId="2">
  <autoFilter ref="A1:J183" xr:uid="{E0367A59-9967-4167-BBD0-FD99C2E3A54D}"/>
  <tableColumns count="10">
    <tableColumn id="1" xr3:uid="{65DD4BC8-60E7-426F-B606-B24BE7A086F6}" name="Customer_ID" dataDxfId="10"/>
    <tableColumn id="2" xr3:uid="{371868C7-FF56-4197-9AC9-F52591BD3226}" name="Product_ID" dataDxfId="9"/>
    <tableColumn id="3" xr3:uid="{EB8C6520-8C20-4C8B-9819-5253C0472EAE}" name="Sales" dataDxfId="8" dataCellStyle="Comma"/>
    <tableColumn id="4" xr3:uid="{59EC290D-04D0-42F4-A219-91384CF564E3}" name="Gross Profit" dataDxfId="7" dataCellStyle="Comma"/>
    <tableColumn id="5" xr3:uid="{1BEE6F5F-AF57-4EAB-83E4-539F6A02B869}" name="Date" dataDxfId="6"/>
    <tableColumn id="6" xr3:uid="{2ECDD061-74C8-498D-A07F-296671E43C77}" name="Month" dataDxfId="5"/>
    <tableColumn id="7" xr3:uid="{01844D36-75A5-43F1-A3AC-7055493E9861}" name="Quarter" dataDxfId="4"/>
    <tableColumn id="8" xr3:uid="{C1A39AA5-52D2-4CCC-88D7-EC75CB33FFD7}" name="Year" dataDxfId="3"/>
    <tableColumn id="9" xr3:uid="{3E95B006-7608-4128-B46C-04F499D7AB4D}" name="Country"/>
    <tableColumn id="10" xr3:uid="{7BF9AAB1-0E62-4161-8C06-1798C0DFFD48}" name="Customer Satisfaction 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6A99E-CB49-43C3-B62B-6CD47C53FC38}">
  <dimension ref="A1:J183"/>
  <sheetViews>
    <sheetView workbookViewId="0">
      <pane ySplit="1" topLeftCell="A2" activePane="bottomLeft" state="frozen"/>
      <selection pane="bottomLeft" activeCell="C12" sqref="C12"/>
    </sheetView>
  </sheetViews>
  <sheetFormatPr defaultRowHeight="15" x14ac:dyDescent="0.25"/>
  <cols>
    <col min="1" max="1" width="15.85546875" customWidth="1"/>
    <col min="2" max="2" width="14.140625" customWidth="1"/>
    <col min="3" max="3" width="12.5703125" bestFit="1" customWidth="1"/>
    <col min="4" max="4" width="13.5703125" customWidth="1"/>
    <col min="5" max="5" width="10.7109375" bestFit="1" customWidth="1"/>
    <col min="6" max="6" width="10.42578125" customWidth="1"/>
    <col min="7" max="7" width="11.28515625" customWidth="1"/>
    <col min="8" max="8" width="8.42578125" customWidth="1"/>
    <col min="9" max="9" width="10.140625" customWidth="1"/>
    <col min="10" max="10" width="28.42578125" customWidth="1"/>
  </cols>
  <sheetData>
    <row r="1" spans="1:10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</row>
    <row r="2" spans="1:10" x14ac:dyDescent="0.25">
      <c r="A2" s="3" t="s">
        <v>10</v>
      </c>
      <c r="B2" s="3" t="s">
        <v>11</v>
      </c>
      <c r="C2" s="4">
        <v>43125</v>
      </c>
      <c r="D2" s="4">
        <v>1725</v>
      </c>
      <c r="E2" s="5">
        <v>44461</v>
      </c>
      <c r="F2" s="3" t="s">
        <v>12</v>
      </c>
      <c r="G2" s="3" t="s">
        <v>13</v>
      </c>
      <c r="H2" s="3">
        <v>2021</v>
      </c>
      <c r="I2" t="s">
        <v>14</v>
      </c>
      <c r="J2" t="s">
        <v>15</v>
      </c>
    </row>
    <row r="3" spans="1:10" x14ac:dyDescent="0.25">
      <c r="A3" s="3" t="s">
        <v>16</v>
      </c>
      <c r="B3" s="3" t="s">
        <v>17</v>
      </c>
      <c r="C3" s="4">
        <v>8235</v>
      </c>
      <c r="D3" s="4">
        <v>2745</v>
      </c>
      <c r="E3" s="5">
        <v>44207</v>
      </c>
      <c r="F3" s="3" t="s">
        <v>18</v>
      </c>
      <c r="G3" s="3" t="s">
        <v>19</v>
      </c>
      <c r="H3" s="3">
        <v>2021</v>
      </c>
      <c r="I3" t="s">
        <v>20</v>
      </c>
      <c r="J3" t="s">
        <v>15</v>
      </c>
    </row>
    <row r="4" spans="1:10" x14ac:dyDescent="0.25">
      <c r="A4" s="3" t="s">
        <v>21</v>
      </c>
      <c r="B4" s="3" t="s">
        <v>17</v>
      </c>
      <c r="C4" s="4">
        <v>236400</v>
      </c>
      <c r="D4" s="4">
        <v>39400</v>
      </c>
      <c r="E4" s="5">
        <v>44588</v>
      </c>
      <c r="F4" s="3" t="s">
        <v>18</v>
      </c>
      <c r="G4" s="3" t="s">
        <v>19</v>
      </c>
      <c r="H4" s="3">
        <v>2021</v>
      </c>
      <c r="I4" t="s">
        <v>22</v>
      </c>
      <c r="J4" t="s">
        <v>23</v>
      </c>
    </row>
    <row r="5" spans="1:10" x14ac:dyDescent="0.25">
      <c r="A5" s="3" t="s">
        <v>24</v>
      </c>
      <c r="B5" s="3" t="s">
        <v>17</v>
      </c>
      <c r="C5" s="4">
        <v>603750</v>
      </c>
      <c r="D5" s="4">
        <v>455250</v>
      </c>
      <c r="E5" s="5">
        <v>44409</v>
      </c>
      <c r="F5" s="3" t="s">
        <v>25</v>
      </c>
      <c r="G5" s="3" t="s">
        <v>13</v>
      </c>
      <c r="H5" s="3">
        <v>2021</v>
      </c>
      <c r="I5" t="s">
        <v>26</v>
      </c>
      <c r="J5" t="s">
        <v>27</v>
      </c>
    </row>
    <row r="6" spans="1:10" x14ac:dyDescent="0.25">
      <c r="A6" s="3" t="s">
        <v>28</v>
      </c>
      <c r="B6" s="3" t="s">
        <v>17</v>
      </c>
      <c r="C6" s="4">
        <v>10944</v>
      </c>
      <c r="D6" s="4">
        <v>8208</v>
      </c>
      <c r="E6" s="5">
        <v>44750</v>
      </c>
      <c r="F6" s="3" t="s">
        <v>29</v>
      </c>
      <c r="G6" s="3" t="s">
        <v>13</v>
      </c>
      <c r="H6" s="3">
        <v>2021</v>
      </c>
      <c r="I6" t="s">
        <v>30</v>
      </c>
      <c r="J6" t="s">
        <v>27</v>
      </c>
    </row>
    <row r="7" spans="1:10" x14ac:dyDescent="0.25">
      <c r="A7" s="3" t="s">
        <v>31</v>
      </c>
      <c r="B7" s="3" t="s">
        <v>17</v>
      </c>
      <c r="C7" s="4">
        <v>32280</v>
      </c>
      <c r="D7" s="4">
        <v>10760</v>
      </c>
      <c r="E7" s="5">
        <v>44832</v>
      </c>
      <c r="F7" s="3" t="s">
        <v>12</v>
      </c>
      <c r="G7" s="3" t="s">
        <v>13</v>
      </c>
      <c r="H7" s="3">
        <v>2021</v>
      </c>
      <c r="I7" t="s">
        <v>32</v>
      </c>
      <c r="J7" t="s">
        <v>15</v>
      </c>
    </row>
    <row r="8" spans="1:10" x14ac:dyDescent="0.25">
      <c r="A8" s="3" t="s">
        <v>33</v>
      </c>
      <c r="B8" s="3" t="s">
        <v>34</v>
      </c>
      <c r="C8" s="4">
        <v>43125</v>
      </c>
      <c r="D8" s="4">
        <v>1725</v>
      </c>
      <c r="E8" s="5">
        <v>44465</v>
      </c>
      <c r="F8" s="3" t="s">
        <v>12</v>
      </c>
      <c r="G8" s="3" t="s">
        <v>13</v>
      </c>
      <c r="H8" s="3">
        <v>2021</v>
      </c>
      <c r="I8" t="s">
        <v>35</v>
      </c>
      <c r="J8" t="s">
        <v>27</v>
      </c>
    </row>
    <row r="9" spans="1:10" x14ac:dyDescent="0.25">
      <c r="A9" s="3" t="s">
        <v>33</v>
      </c>
      <c r="B9" s="3" t="s">
        <v>34</v>
      </c>
      <c r="C9" s="6">
        <v>994875</v>
      </c>
      <c r="D9" s="6">
        <v>801725</v>
      </c>
      <c r="E9" s="5">
        <v>44465</v>
      </c>
      <c r="F9" s="3" t="s">
        <v>36</v>
      </c>
      <c r="G9" s="3" t="s">
        <v>13</v>
      </c>
      <c r="H9" s="3">
        <v>2021</v>
      </c>
      <c r="I9" t="s">
        <v>35</v>
      </c>
      <c r="J9" t="s">
        <v>37</v>
      </c>
    </row>
    <row r="10" spans="1:10" x14ac:dyDescent="0.25">
      <c r="A10" s="3" t="s">
        <v>38</v>
      </c>
      <c r="B10" s="3" t="s">
        <v>39</v>
      </c>
      <c r="C10" s="6">
        <v>534450</v>
      </c>
      <c r="D10" s="6">
        <v>137430</v>
      </c>
      <c r="E10" s="5">
        <v>44238</v>
      </c>
      <c r="F10" s="3" t="s">
        <v>40</v>
      </c>
      <c r="G10" s="3" t="s">
        <v>19</v>
      </c>
      <c r="H10" s="3">
        <v>2021</v>
      </c>
      <c r="I10" t="s">
        <v>41</v>
      </c>
      <c r="J10" t="s">
        <v>15</v>
      </c>
    </row>
    <row r="11" spans="1:10" x14ac:dyDescent="0.25">
      <c r="A11" s="3" t="s">
        <v>38</v>
      </c>
      <c r="B11" s="3" t="s">
        <v>39</v>
      </c>
      <c r="C11" s="6">
        <v>1000341</v>
      </c>
      <c r="D11" s="6">
        <v>837430</v>
      </c>
      <c r="E11" s="5">
        <v>44238</v>
      </c>
      <c r="F11" s="3" t="s">
        <v>42</v>
      </c>
      <c r="G11" s="3" t="s">
        <v>19</v>
      </c>
      <c r="H11" s="3">
        <v>2021</v>
      </c>
      <c r="I11" t="s">
        <v>41</v>
      </c>
      <c r="J11" t="s">
        <v>15</v>
      </c>
    </row>
    <row r="12" spans="1:10" x14ac:dyDescent="0.25">
      <c r="A12" s="3" t="s">
        <v>38</v>
      </c>
      <c r="B12" s="3" t="s">
        <v>39</v>
      </c>
      <c r="C12" s="6">
        <v>1104826</v>
      </c>
      <c r="D12" s="6">
        <v>937430</v>
      </c>
      <c r="E12" s="5">
        <v>44238</v>
      </c>
      <c r="F12" s="3" t="s">
        <v>43</v>
      </c>
      <c r="G12" s="3" t="s">
        <v>19</v>
      </c>
      <c r="H12" s="3">
        <v>2021</v>
      </c>
      <c r="I12" t="s">
        <v>41</v>
      </c>
      <c r="J12" t="s">
        <v>37</v>
      </c>
    </row>
    <row r="13" spans="1:10" x14ac:dyDescent="0.25">
      <c r="A13" s="3" t="s">
        <v>38</v>
      </c>
      <c r="B13" s="3" t="s">
        <v>39</v>
      </c>
      <c r="C13" s="6">
        <v>300000</v>
      </c>
      <c r="D13" s="6">
        <v>237430</v>
      </c>
      <c r="E13" s="5">
        <v>44238</v>
      </c>
      <c r="F13" s="3" t="s">
        <v>36</v>
      </c>
      <c r="G13" s="3" t="s">
        <v>19</v>
      </c>
      <c r="H13" s="3">
        <v>2021</v>
      </c>
      <c r="I13" t="s">
        <v>41</v>
      </c>
      <c r="J13" t="s">
        <v>27</v>
      </c>
    </row>
    <row r="14" spans="1:10" x14ac:dyDescent="0.25">
      <c r="A14" s="3" t="s">
        <v>44</v>
      </c>
      <c r="B14" s="3" t="s">
        <v>45</v>
      </c>
      <c r="C14" s="6">
        <v>40837.5</v>
      </c>
      <c r="D14" s="6">
        <v>11900.5</v>
      </c>
      <c r="E14" s="5">
        <v>44573</v>
      </c>
      <c r="F14" s="3" t="s">
        <v>18</v>
      </c>
      <c r="G14" s="3" t="s">
        <v>19</v>
      </c>
      <c r="H14" s="3">
        <v>2021</v>
      </c>
      <c r="I14" t="s">
        <v>14</v>
      </c>
      <c r="J14" t="s">
        <v>23</v>
      </c>
    </row>
    <row r="15" spans="1:10" x14ac:dyDescent="0.25">
      <c r="A15" s="3" t="s">
        <v>46</v>
      </c>
      <c r="B15" s="3" t="s">
        <v>45</v>
      </c>
      <c r="C15" s="6">
        <v>9100.08</v>
      </c>
      <c r="D15" s="6">
        <v>6802.08</v>
      </c>
      <c r="E15" s="5">
        <v>44657</v>
      </c>
      <c r="F15" s="3" t="s">
        <v>47</v>
      </c>
      <c r="G15" s="3" t="s">
        <v>48</v>
      </c>
      <c r="H15" s="3">
        <v>2021</v>
      </c>
      <c r="I15" t="s">
        <v>20</v>
      </c>
      <c r="J15" t="s">
        <v>37</v>
      </c>
    </row>
    <row r="16" spans="1:10" x14ac:dyDescent="0.25">
      <c r="A16" s="3" t="s">
        <v>49</v>
      </c>
      <c r="B16" s="3" t="s">
        <v>45</v>
      </c>
      <c r="C16" s="6">
        <v>146718</v>
      </c>
      <c r="D16" s="6">
        <v>123218</v>
      </c>
      <c r="E16" s="5">
        <v>44519</v>
      </c>
      <c r="F16" s="3" t="s">
        <v>43</v>
      </c>
      <c r="G16" s="3" t="s">
        <v>50</v>
      </c>
      <c r="H16" s="3">
        <v>2021</v>
      </c>
      <c r="I16" t="s">
        <v>22</v>
      </c>
      <c r="J16" t="s">
        <v>15</v>
      </c>
    </row>
    <row r="17" spans="1:10" x14ac:dyDescent="0.25">
      <c r="A17" s="3" t="s">
        <v>49</v>
      </c>
      <c r="B17" s="3" t="s">
        <v>45</v>
      </c>
      <c r="C17" s="6">
        <v>500000</v>
      </c>
      <c r="D17" s="6">
        <v>393218</v>
      </c>
      <c r="E17" s="5">
        <v>44519</v>
      </c>
      <c r="F17" s="3" t="s">
        <v>12</v>
      </c>
      <c r="G17" s="3" t="s">
        <v>50</v>
      </c>
      <c r="H17" s="3">
        <v>2021</v>
      </c>
      <c r="I17" t="s">
        <v>22</v>
      </c>
      <c r="J17" t="s">
        <v>15</v>
      </c>
    </row>
    <row r="18" spans="1:10" x14ac:dyDescent="0.25">
      <c r="A18" s="3" t="s">
        <v>51</v>
      </c>
      <c r="B18" s="3" t="s">
        <v>11</v>
      </c>
      <c r="C18" s="4">
        <v>741906</v>
      </c>
      <c r="D18" s="4">
        <v>517406</v>
      </c>
      <c r="E18" s="5">
        <v>44550</v>
      </c>
      <c r="F18" s="3" t="s">
        <v>36</v>
      </c>
      <c r="G18" s="3" t="s">
        <v>50</v>
      </c>
      <c r="H18" s="3">
        <v>2021</v>
      </c>
      <c r="I18" t="s">
        <v>26</v>
      </c>
      <c r="J18" t="s">
        <v>23</v>
      </c>
    </row>
    <row r="19" spans="1:10" x14ac:dyDescent="0.25">
      <c r="A19" s="3" t="s">
        <v>52</v>
      </c>
      <c r="B19" s="3" t="s">
        <v>11</v>
      </c>
      <c r="C19" s="4">
        <v>82046.25</v>
      </c>
      <c r="D19" s="4">
        <v>2486.25</v>
      </c>
      <c r="E19" s="5">
        <v>44254</v>
      </c>
      <c r="F19" s="3" t="s">
        <v>40</v>
      </c>
      <c r="G19" s="3" t="s">
        <v>19</v>
      </c>
      <c r="H19" s="3">
        <v>2021</v>
      </c>
      <c r="I19" t="s">
        <v>30</v>
      </c>
      <c r="J19" t="s">
        <v>27</v>
      </c>
    </row>
    <row r="20" spans="1:10" x14ac:dyDescent="0.25">
      <c r="A20" s="3" t="s">
        <v>53</v>
      </c>
      <c r="B20" s="3" t="s">
        <v>17</v>
      </c>
      <c r="C20" s="4">
        <v>9100.08</v>
      </c>
      <c r="D20" s="4">
        <v>6802.08</v>
      </c>
      <c r="E20" s="5">
        <v>44752</v>
      </c>
      <c r="F20" s="3" t="s">
        <v>29</v>
      </c>
      <c r="G20" s="3" t="s">
        <v>13</v>
      </c>
      <c r="H20" s="3">
        <v>2021</v>
      </c>
      <c r="I20" t="s">
        <v>32</v>
      </c>
      <c r="J20" t="s">
        <v>15</v>
      </c>
    </row>
    <row r="21" spans="1:10" x14ac:dyDescent="0.25">
      <c r="A21" s="3" t="s">
        <v>54</v>
      </c>
      <c r="B21" s="3" t="s">
        <v>34</v>
      </c>
      <c r="C21" s="4">
        <v>82046.25</v>
      </c>
      <c r="D21" s="4">
        <v>2486.25</v>
      </c>
      <c r="E21" s="5">
        <v>44649</v>
      </c>
      <c r="F21" s="3" t="s">
        <v>55</v>
      </c>
      <c r="G21" s="3" t="s">
        <v>19</v>
      </c>
      <c r="H21" s="3">
        <v>2021</v>
      </c>
      <c r="I21" t="s">
        <v>35</v>
      </c>
      <c r="J21" t="s">
        <v>27</v>
      </c>
    </row>
    <row r="22" spans="1:10" x14ac:dyDescent="0.25">
      <c r="A22" s="3" t="s">
        <v>56</v>
      </c>
      <c r="B22" s="3" t="s">
        <v>34</v>
      </c>
      <c r="C22" s="4">
        <v>14497.56</v>
      </c>
      <c r="D22" s="4">
        <v>4037.5599999999995</v>
      </c>
      <c r="E22" s="5">
        <v>44853</v>
      </c>
      <c r="F22" s="3" t="s">
        <v>57</v>
      </c>
      <c r="G22" s="3" t="s">
        <v>50</v>
      </c>
      <c r="H22" s="3">
        <v>2021</v>
      </c>
      <c r="I22" t="s">
        <v>41</v>
      </c>
      <c r="J22" t="s">
        <v>23</v>
      </c>
    </row>
    <row r="23" spans="1:10" x14ac:dyDescent="0.25">
      <c r="A23" s="3" t="s">
        <v>58</v>
      </c>
      <c r="B23" s="3" t="s">
        <v>39</v>
      </c>
      <c r="C23" s="4">
        <v>146718</v>
      </c>
      <c r="D23" s="4">
        <v>123218</v>
      </c>
      <c r="E23" s="5">
        <v>44773</v>
      </c>
      <c r="F23" s="3" t="s">
        <v>29</v>
      </c>
      <c r="G23" s="3" t="s">
        <v>13</v>
      </c>
      <c r="H23" s="3">
        <v>2021</v>
      </c>
      <c r="I23" t="s">
        <v>14</v>
      </c>
      <c r="J23" t="s">
        <v>59</v>
      </c>
    </row>
    <row r="24" spans="1:10" x14ac:dyDescent="0.25">
      <c r="A24" s="3" t="s">
        <v>60</v>
      </c>
      <c r="B24" s="3" t="s">
        <v>61</v>
      </c>
      <c r="C24" s="4">
        <v>23629.32</v>
      </c>
      <c r="D24" s="4">
        <v>17662.32</v>
      </c>
      <c r="E24" s="5">
        <v>44649</v>
      </c>
      <c r="F24" s="3" t="s">
        <v>55</v>
      </c>
      <c r="G24" s="3" t="s">
        <v>19</v>
      </c>
      <c r="H24" s="3">
        <v>2021</v>
      </c>
      <c r="I24" t="s">
        <v>20</v>
      </c>
      <c r="J24" t="s">
        <v>23</v>
      </c>
    </row>
    <row r="25" spans="1:10" x14ac:dyDescent="0.25">
      <c r="A25" s="3" t="s">
        <v>62</v>
      </c>
      <c r="B25" s="3" t="s">
        <v>61</v>
      </c>
      <c r="C25" s="4">
        <v>4766.8500000000004</v>
      </c>
      <c r="D25" s="4">
        <v>1556.8500000000004</v>
      </c>
      <c r="E25" s="5">
        <v>44769</v>
      </c>
      <c r="F25" s="3" t="s">
        <v>29</v>
      </c>
      <c r="G25" s="3" t="s">
        <v>13</v>
      </c>
      <c r="H25" s="3">
        <v>2021</v>
      </c>
      <c r="I25" t="s">
        <v>22</v>
      </c>
      <c r="J25" t="s">
        <v>27</v>
      </c>
    </row>
    <row r="26" spans="1:10" x14ac:dyDescent="0.25">
      <c r="A26" s="3" t="s">
        <v>62</v>
      </c>
      <c r="B26" s="3" t="s">
        <v>61</v>
      </c>
      <c r="C26" s="4">
        <v>700534</v>
      </c>
      <c r="D26" s="4">
        <v>601556.85</v>
      </c>
      <c r="E26" s="5">
        <v>44769</v>
      </c>
      <c r="F26" s="3" t="s">
        <v>47</v>
      </c>
      <c r="G26" s="3" t="s">
        <v>13</v>
      </c>
      <c r="H26" s="3">
        <v>2021</v>
      </c>
      <c r="I26" t="s">
        <v>22</v>
      </c>
      <c r="J26" t="s">
        <v>59</v>
      </c>
    </row>
    <row r="27" spans="1:10" x14ac:dyDescent="0.25">
      <c r="A27" s="3" t="s">
        <v>62</v>
      </c>
      <c r="B27" s="3" t="s">
        <v>61</v>
      </c>
      <c r="C27" s="4">
        <v>813091</v>
      </c>
      <c r="D27" s="4">
        <v>701556.85</v>
      </c>
      <c r="E27" s="5">
        <v>44769</v>
      </c>
      <c r="F27" s="3" t="s">
        <v>42</v>
      </c>
      <c r="G27" s="3" t="s">
        <v>13</v>
      </c>
      <c r="H27" s="3">
        <v>2021</v>
      </c>
      <c r="I27" t="s">
        <v>22</v>
      </c>
      <c r="J27" t="s">
        <v>15</v>
      </c>
    </row>
    <row r="28" spans="1:10" x14ac:dyDescent="0.25">
      <c r="A28" s="3" t="s">
        <v>63</v>
      </c>
      <c r="B28" s="3" t="s">
        <v>45</v>
      </c>
      <c r="C28" s="4">
        <v>62916</v>
      </c>
      <c r="D28" s="4">
        <v>9416</v>
      </c>
      <c r="E28" s="5">
        <v>44438</v>
      </c>
      <c r="F28" s="3" t="s">
        <v>25</v>
      </c>
      <c r="G28" s="3" t="s">
        <v>13</v>
      </c>
      <c r="H28" s="3">
        <v>2021</v>
      </c>
      <c r="I28" t="s">
        <v>26</v>
      </c>
      <c r="J28" t="s">
        <v>37</v>
      </c>
    </row>
    <row r="29" spans="1:10" x14ac:dyDescent="0.25">
      <c r="A29" s="3" t="s">
        <v>64</v>
      </c>
      <c r="B29" s="3" t="s">
        <v>45</v>
      </c>
      <c r="C29" s="4">
        <v>44714.7</v>
      </c>
      <c r="D29" s="4">
        <v>3989.7000000000007</v>
      </c>
      <c r="E29" s="5">
        <v>44484</v>
      </c>
      <c r="F29" s="3" t="s">
        <v>57</v>
      </c>
      <c r="G29" s="3" t="s">
        <v>50</v>
      </c>
      <c r="H29" s="3">
        <v>2021</v>
      </c>
      <c r="I29" t="s">
        <v>30</v>
      </c>
      <c r="J29" t="s">
        <v>27</v>
      </c>
    </row>
    <row r="30" spans="1:10" x14ac:dyDescent="0.25">
      <c r="A30" s="3" t="s">
        <v>65</v>
      </c>
      <c r="B30" s="3" t="s">
        <v>11</v>
      </c>
      <c r="C30" s="4">
        <v>203350</v>
      </c>
      <c r="D30" s="4">
        <v>4150</v>
      </c>
      <c r="E30" s="5">
        <v>44864</v>
      </c>
      <c r="F30" s="3" t="s">
        <v>57</v>
      </c>
      <c r="G30" s="3" t="s">
        <v>50</v>
      </c>
      <c r="H30" s="3">
        <v>2021</v>
      </c>
      <c r="I30" t="s">
        <v>32</v>
      </c>
      <c r="J30" t="s">
        <v>27</v>
      </c>
    </row>
    <row r="31" spans="1:10" x14ac:dyDescent="0.25">
      <c r="A31" s="3" t="s">
        <v>66</v>
      </c>
      <c r="B31" s="3" t="s">
        <v>17</v>
      </c>
      <c r="C31" s="4">
        <v>99102.5</v>
      </c>
      <c r="D31" s="4">
        <v>2022.5</v>
      </c>
      <c r="E31" s="5">
        <v>44540</v>
      </c>
      <c r="F31" s="3" t="s">
        <v>36</v>
      </c>
      <c r="G31" s="3" t="s">
        <v>50</v>
      </c>
      <c r="H31" s="3">
        <v>2021</v>
      </c>
      <c r="I31" t="s">
        <v>35</v>
      </c>
      <c r="J31" t="s">
        <v>15</v>
      </c>
    </row>
    <row r="32" spans="1:10" x14ac:dyDescent="0.25">
      <c r="A32" s="3" t="s">
        <v>67</v>
      </c>
      <c r="B32" s="3" t="s">
        <v>17</v>
      </c>
      <c r="C32" s="4">
        <v>262762.5</v>
      </c>
      <c r="D32" s="4">
        <v>205362.5</v>
      </c>
      <c r="E32" s="5">
        <v>44339</v>
      </c>
      <c r="F32" s="3" t="s">
        <v>42</v>
      </c>
      <c r="G32" s="3" t="s">
        <v>48</v>
      </c>
      <c r="H32" s="3">
        <v>2021</v>
      </c>
      <c r="I32" t="s">
        <v>41</v>
      </c>
      <c r="J32" t="s">
        <v>37</v>
      </c>
    </row>
    <row r="33" spans="1:10" x14ac:dyDescent="0.25">
      <c r="A33" s="3" t="s">
        <v>68</v>
      </c>
      <c r="B33" s="3" t="s">
        <v>17</v>
      </c>
      <c r="C33" s="4">
        <v>20991.599999999999</v>
      </c>
      <c r="D33" s="4">
        <v>15636.599999999999</v>
      </c>
      <c r="E33" s="5">
        <v>44245</v>
      </c>
      <c r="F33" s="3" t="s">
        <v>40</v>
      </c>
      <c r="G33" s="3" t="s">
        <v>19</v>
      </c>
      <c r="H33" s="3">
        <v>2021</v>
      </c>
      <c r="I33" t="s">
        <v>14</v>
      </c>
      <c r="J33" t="s">
        <v>27</v>
      </c>
    </row>
    <row r="34" spans="1:10" x14ac:dyDescent="0.25">
      <c r="A34" s="3" t="s">
        <v>69</v>
      </c>
      <c r="B34" s="3" t="s">
        <v>17</v>
      </c>
      <c r="C34" s="4">
        <v>28297.5</v>
      </c>
      <c r="D34" s="4">
        <v>9047.5</v>
      </c>
      <c r="E34" s="5">
        <v>44224</v>
      </c>
      <c r="F34" s="3" t="s">
        <v>18</v>
      </c>
      <c r="G34" s="3" t="s">
        <v>19</v>
      </c>
      <c r="H34" s="3">
        <v>2021</v>
      </c>
      <c r="I34" t="s">
        <v>20</v>
      </c>
      <c r="J34" t="s">
        <v>59</v>
      </c>
    </row>
    <row r="35" spans="1:10" x14ac:dyDescent="0.25">
      <c r="A35" s="3" t="s">
        <v>70</v>
      </c>
      <c r="B35" s="3" t="s">
        <v>17</v>
      </c>
      <c r="C35" s="4">
        <v>13809.18</v>
      </c>
      <c r="D35" s="4">
        <v>3744.1800000000003</v>
      </c>
      <c r="E35" s="5">
        <v>44916</v>
      </c>
      <c r="F35" s="3" t="s">
        <v>36</v>
      </c>
      <c r="G35" s="3" t="s">
        <v>50</v>
      </c>
      <c r="H35" s="3">
        <v>2021</v>
      </c>
      <c r="I35" t="s">
        <v>22</v>
      </c>
      <c r="J35" t="s">
        <v>37</v>
      </c>
    </row>
    <row r="36" spans="1:10" x14ac:dyDescent="0.25">
      <c r="A36" s="3" t="s">
        <v>71</v>
      </c>
      <c r="B36" s="3" t="s">
        <v>34</v>
      </c>
      <c r="C36" s="4">
        <v>1017338</v>
      </c>
      <c r="D36" s="4">
        <v>846178</v>
      </c>
      <c r="E36" s="5">
        <v>44574</v>
      </c>
      <c r="F36" s="3" t="s">
        <v>18</v>
      </c>
      <c r="G36" s="3" t="s">
        <v>19</v>
      </c>
      <c r="H36" s="3">
        <v>2021</v>
      </c>
      <c r="I36" t="s">
        <v>26</v>
      </c>
      <c r="J36" t="s">
        <v>15</v>
      </c>
    </row>
    <row r="37" spans="1:10" x14ac:dyDescent="0.25">
      <c r="A37" s="3" t="s">
        <v>72</v>
      </c>
      <c r="B37" s="3" t="s">
        <v>34</v>
      </c>
      <c r="C37" s="4">
        <v>99102.5</v>
      </c>
      <c r="D37" s="4">
        <v>2022.5</v>
      </c>
      <c r="E37" s="5">
        <v>44873</v>
      </c>
      <c r="F37" s="3" t="s">
        <v>43</v>
      </c>
      <c r="G37" s="3" t="s">
        <v>50</v>
      </c>
      <c r="H37" s="3">
        <v>2021</v>
      </c>
      <c r="I37" t="s">
        <v>30</v>
      </c>
      <c r="J37" t="s">
        <v>23</v>
      </c>
    </row>
    <row r="38" spans="1:10" x14ac:dyDescent="0.25">
      <c r="A38" s="3" t="s">
        <v>73</v>
      </c>
      <c r="B38" s="3" t="s">
        <v>34</v>
      </c>
      <c r="C38" s="4">
        <v>262762.5</v>
      </c>
      <c r="D38" s="4">
        <v>5362.5</v>
      </c>
      <c r="E38" s="5">
        <v>44215</v>
      </c>
      <c r="F38" s="3" t="s">
        <v>18</v>
      </c>
      <c r="G38" s="3" t="s">
        <v>19</v>
      </c>
      <c r="H38" s="3">
        <v>2021</v>
      </c>
      <c r="I38" t="s">
        <v>32</v>
      </c>
      <c r="J38" t="s">
        <v>59</v>
      </c>
    </row>
    <row r="39" spans="1:10" x14ac:dyDescent="0.25">
      <c r="A39" s="3" t="s">
        <v>74</v>
      </c>
      <c r="B39" s="3" t="s">
        <v>34</v>
      </c>
      <c r="C39" s="4">
        <v>10662.4</v>
      </c>
      <c r="D39" s="4">
        <v>5222.3999999999996</v>
      </c>
      <c r="E39" s="5">
        <v>44407</v>
      </c>
      <c r="F39" s="3" t="s">
        <v>29</v>
      </c>
      <c r="G39" s="3" t="s">
        <v>13</v>
      </c>
      <c r="H39" s="3">
        <v>2021</v>
      </c>
      <c r="I39" t="s">
        <v>35</v>
      </c>
      <c r="J39" t="s">
        <v>15</v>
      </c>
    </row>
    <row r="40" spans="1:10" x14ac:dyDescent="0.25">
      <c r="A40" s="3" t="s">
        <v>75</v>
      </c>
      <c r="B40" s="3" t="s">
        <v>39</v>
      </c>
      <c r="C40" s="4">
        <v>62916</v>
      </c>
      <c r="D40" s="4">
        <v>9416</v>
      </c>
      <c r="E40" s="5">
        <v>44248</v>
      </c>
      <c r="F40" s="3" t="s">
        <v>40</v>
      </c>
      <c r="G40" s="3" t="s">
        <v>19</v>
      </c>
      <c r="H40" s="3">
        <v>2021</v>
      </c>
      <c r="I40" t="s">
        <v>41</v>
      </c>
      <c r="J40" t="s">
        <v>27</v>
      </c>
    </row>
    <row r="41" spans="1:10" x14ac:dyDescent="0.25">
      <c r="A41" s="3" t="s">
        <v>76</v>
      </c>
      <c r="B41" s="3" t="s">
        <v>39</v>
      </c>
      <c r="C41" s="4">
        <v>91238</v>
      </c>
      <c r="D41" s="4">
        <v>22078</v>
      </c>
      <c r="E41" s="5">
        <v>44589</v>
      </c>
      <c r="F41" s="3" t="s">
        <v>18</v>
      </c>
      <c r="G41" s="3" t="s">
        <v>19</v>
      </c>
      <c r="H41" s="3">
        <v>2021</v>
      </c>
      <c r="I41" t="s">
        <v>14</v>
      </c>
      <c r="J41" t="s">
        <v>15</v>
      </c>
    </row>
    <row r="42" spans="1:10" x14ac:dyDescent="0.25">
      <c r="A42" s="3" t="s">
        <v>77</v>
      </c>
      <c r="B42" s="3" t="s">
        <v>39</v>
      </c>
      <c r="C42" s="4">
        <v>605420</v>
      </c>
      <c r="D42" s="4">
        <v>461020</v>
      </c>
      <c r="E42" s="5">
        <v>44573</v>
      </c>
      <c r="F42" s="3" t="s">
        <v>18</v>
      </c>
      <c r="G42" s="3" t="s">
        <v>19</v>
      </c>
      <c r="H42" s="3">
        <v>2021</v>
      </c>
      <c r="I42" t="s">
        <v>20</v>
      </c>
      <c r="J42" t="s">
        <v>27</v>
      </c>
    </row>
    <row r="43" spans="1:10" x14ac:dyDescent="0.25">
      <c r="A43" s="3" t="s">
        <v>78</v>
      </c>
      <c r="B43" s="3" t="s">
        <v>61</v>
      </c>
      <c r="C43" s="4">
        <v>1017338</v>
      </c>
      <c r="D43" s="4">
        <v>877321</v>
      </c>
      <c r="E43" s="5">
        <v>44743</v>
      </c>
      <c r="F43" s="3" t="s">
        <v>29</v>
      </c>
      <c r="G43" s="3" t="s">
        <v>13</v>
      </c>
      <c r="H43" s="3">
        <v>2021</v>
      </c>
      <c r="I43" t="s">
        <v>22</v>
      </c>
      <c r="J43" t="s">
        <v>37</v>
      </c>
    </row>
    <row r="44" spans="1:10" x14ac:dyDescent="0.25">
      <c r="A44" s="3" t="s">
        <v>79</v>
      </c>
      <c r="B44" s="3" t="s">
        <v>45</v>
      </c>
      <c r="C44" s="4">
        <v>10569.12</v>
      </c>
      <c r="D44" s="4">
        <v>7845.1200000000008</v>
      </c>
      <c r="E44" s="5">
        <v>44906</v>
      </c>
      <c r="F44" s="3" t="s">
        <v>36</v>
      </c>
      <c r="G44" s="3" t="s">
        <v>50</v>
      </c>
      <c r="H44" s="3">
        <v>2021</v>
      </c>
      <c r="I44" t="s">
        <v>26</v>
      </c>
      <c r="J44" t="s">
        <v>27</v>
      </c>
    </row>
    <row r="45" spans="1:10" x14ac:dyDescent="0.25">
      <c r="A45" s="3" t="s">
        <v>80</v>
      </c>
      <c r="B45" s="3" t="s">
        <v>11</v>
      </c>
      <c r="C45" s="4">
        <v>610081.5</v>
      </c>
      <c r="D45" s="4">
        <v>542861.5</v>
      </c>
      <c r="E45" s="5">
        <v>44332</v>
      </c>
      <c r="F45" s="3" t="s">
        <v>42</v>
      </c>
      <c r="G45" s="3" t="s">
        <v>48</v>
      </c>
      <c r="H45" s="3">
        <v>2021</v>
      </c>
      <c r="I45" t="s">
        <v>30</v>
      </c>
      <c r="J45" t="s">
        <v>15</v>
      </c>
    </row>
    <row r="46" spans="1:10" x14ac:dyDescent="0.25">
      <c r="A46" s="3" t="s">
        <v>81</v>
      </c>
      <c r="B46" s="3" t="s">
        <v>17</v>
      </c>
      <c r="C46" s="4">
        <v>28299.75</v>
      </c>
      <c r="D46" s="4">
        <v>8849.75</v>
      </c>
      <c r="E46" s="5">
        <v>44683</v>
      </c>
      <c r="F46" s="3" t="s">
        <v>42</v>
      </c>
      <c r="G46" s="3" t="s">
        <v>48</v>
      </c>
      <c r="H46" s="3">
        <v>2021</v>
      </c>
      <c r="I46" t="s">
        <v>32</v>
      </c>
      <c r="J46" t="s">
        <v>23</v>
      </c>
    </row>
    <row r="47" spans="1:10" x14ac:dyDescent="0.25">
      <c r="A47" s="3" t="s">
        <v>82</v>
      </c>
      <c r="B47" s="3" t="s">
        <v>39</v>
      </c>
      <c r="C47" s="4">
        <v>28299.75</v>
      </c>
      <c r="D47" s="4">
        <v>8849.75</v>
      </c>
      <c r="E47" s="5">
        <v>44653</v>
      </c>
      <c r="F47" s="3" t="s">
        <v>47</v>
      </c>
      <c r="G47" s="3" t="s">
        <v>48</v>
      </c>
      <c r="H47" s="3">
        <v>2021</v>
      </c>
      <c r="I47" t="s">
        <v>35</v>
      </c>
      <c r="J47" t="s">
        <v>27</v>
      </c>
    </row>
    <row r="48" spans="1:10" x14ac:dyDescent="0.25">
      <c r="A48" s="3" t="s">
        <v>83</v>
      </c>
      <c r="B48" s="3" t="s">
        <v>17</v>
      </c>
      <c r="C48" s="4">
        <v>11950.4</v>
      </c>
      <c r="D48" s="4">
        <v>3150.3999999999996</v>
      </c>
      <c r="E48" s="5">
        <v>44503</v>
      </c>
      <c r="F48" s="3" t="s">
        <v>43</v>
      </c>
      <c r="G48" s="3" t="s">
        <v>50</v>
      </c>
      <c r="H48" s="3">
        <v>2021</v>
      </c>
      <c r="I48" t="s">
        <v>41</v>
      </c>
      <c r="J48" t="s">
        <v>15</v>
      </c>
    </row>
    <row r="49" spans="1:10" x14ac:dyDescent="0.25">
      <c r="A49" s="3" t="s">
        <v>16</v>
      </c>
      <c r="B49" s="3" t="s">
        <v>17</v>
      </c>
      <c r="C49" s="4">
        <v>32558.400000000001</v>
      </c>
      <c r="D49" s="4">
        <v>9948.4000000000015</v>
      </c>
      <c r="E49" s="5">
        <v>44661</v>
      </c>
      <c r="F49" s="3" t="s">
        <v>47</v>
      </c>
      <c r="G49" s="3" t="s">
        <v>48</v>
      </c>
      <c r="H49" s="3">
        <v>2021</v>
      </c>
      <c r="I49" t="s">
        <v>20</v>
      </c>
      <c r="J49" t="s">
        <v>27</v>
      </c>
    </row>
    <row r="50" spans="1:10" x14ac:dyDescent="0.25">
      <c r="A50" s="3" t="s">
        <v>84</v>
      </c>
      <c r="B50" s="3" t="s">
        <v>34</v>
      </c>
      <c r="C50" s="4">
        <v>14131.2</v>
      </c>
      <c r="D50" s="4">
        <v>6771.2000000000007</v>
      </c>
      <c r="E50" s="5">
        <v>44754</v>
      </c>
      <c r="F50" s="3" t="s">
        <v>29</v>
      </c>
      <c r="G50" s="3" t="s">
        <v>13</v>
      </c>
      <c r="H50" s="3">
        <v>2021</v>
      </c>
      <c r="I50" t="s">
        <v>14</v>
      </c>
      <c r="J50" t="s">
        <v>15</v>
      </c>
    </row>
    <row r="51" spans="1:10" x14ac:dyDescent="0.25">
      <c r="A51" s="3" t="s">
        <v>85</v>
      </c>
      <c r="B51" s="3" t="s">
        <v>45</v>
      </c>
      <c r="C51" s="4">
        <v>29158.720000000001</v>
      </c>
      <c r="D51" s="4">
        <v>4903.7200000000012</v>
      </c>
      <c r="E51" s="5">
        <v>44915</v>
      </c>
      <c r="F51" s="3" t="s">
        <v>36</v>
      </c>
      <c r="G51" s="3" t="s">
        <v>50</v>
      </c>
      <c r="H51" s="3">
        <v>2021</v>
      </c>
      <c r="I51" t="s">
        <v>20</v>
      </c>
      <c r="J51" t="s">
        <v>15</v>
      </c>
    </row>
    <row r="52" spans="1:10" x14ac:dyDescent="0.25">
      <c r="A52" s="3" t="s">
        <v>86</v>
      </c>
      <c r="B52" s="3" t="s">
        <v>11</v>
      </c>
      <c r="C52" s="4">
        <v>19158.72</v>
      </c>
      <c r="D52" s="4">
        <v>4903.7200000000012</v>
      </c>
      <c r="E52" s="5">
        <v>44391</v>
      </c>
      <c r="F52" s="3" t="s">
        <v>29</v>
      </c>
      <c r="G52" s="3" t="s">
        <v>13</v>
      </c>
      <c r="H52" s="3">
        <v>2021</v>
      </c>
      <c r="I52" t="s">
        <v>22</v>
      </c>
      <c r="J52" t="s">
        <v>15</v>
      </c>
    </row>
    <row r="53" spans="1:10" x14ac:dyDescent="0.25">
      <c r="A53" s="3" t="s">
        <v>69</v>
      </c>
      <c r="B53" s="3" t="s">
        <v>17</v>
      </c>
      <c r="C53" s="4">
        <v>9662.4</v>
      </c>
      <c r="D53" s="4">
        <v>2952.3999999999996</v>
      </c>
      <c r="E53" s="5">
        <v>44211</v>
      </c>
      <c r="F53" s="3" t="s">
        <v>18</v>
      </c>
      <c r="G53" s="3" t="s">
        <v>19</v>
      </c>
      <c r="H53" s="3">
        <v>2021</v>
      </c>
      <c r="I53" t="s">
        <v>20</v>
      </c>
      <c r="J53" t="s">
        <v>27</v>
      </c>
    </row>
    <row r="54" spans="1:10" x14ac:dyDescent="0.25">
      <c r="A54" s="3" t="s">
        <v>87</v>
      </c>
      <c r="B54" s="3" t="s">
        <v>17</v>
      </c>
      <c r="C54" s="4">
        <v>21801.599999999999</v>
      </c>
      <c r="D54" s="4">
        <v>6661.5999999999985</v>
      </c>
      <c r="E54" s="5">
        <v>44642</v>
      </c>
      <c r="F54" s="3" t="s">
        <v>55</v>
      </c>
      <c r="G54" s="3" t="s">
        <v>19</v>
      </c>
      <c r="H54" s="3">
        <v>2021</v>
      </c>
      <c r="I54" t="s">
        <v>26</v>
      </c>
      <c r="J54" t="s">
        <v>27</v>
      </c>
    </row>
    <row r="55" spans="1:10" x14ac:dyDescent="0.25">
      <c r="A55" s="3" t="s">
        <v>56</v>
      </c>
      <c r="B55" s="3" t="s">
        <v>34</v>
      </c>
      <c r="C55" s="4">
        <v>50803.199999999997</v>
      </c>
      <c r="D55" s="4">
        <v>24343.199999999997</v>
      </c>
      <c r="E55" s="5">
        <v>44717</v>
      </c>
      <c r="F55" s="3" t="s">
        <v>88</v>
      </c>
      <c r="G55" s="3" t="s">
        <v>48</v>
      </c>
      <c r="H55" s="3">
        <v>2021</v>
      </c>
      <c r="I55" t="s">
        <v>41</v>
      </c>
      <c r="J55" t="s">
        <v>15</v>
      </c>
    </row>
    <row r="56" spans="1:10" x14ac:dyDescent="0.25">
      <c r="A56" s="3" t="s">
        <v>76</v>
      </c>
      <c r="B56" s="3" t="s">
        <v>39</v>
      </c>
      <c r="C56" s="4">
        <v>117264</v>
      </c>
      <c r="D56" s="4">
        <v>26524</v>
      </c>
      <c r="E56" s="5">
        <v>44243</v>
      </c>
      <c r="F56" s="3" t="s">
        <v>40</v>
      </c>
      <c r="G56" s="3" t="s">
        <v>19</v>
      </c>
      <c r="H56" s="3">
        <v>2021</v>
      </c>
      <c r="I56" t="s">
        <v>14</v>
      </c>
      <c r="J56" t="s">
        <v>15</v>
      </c>
    </row>
    <row r="57" spans="1:10" x14ac:dyDescent="0.25">
      <c r="A57" s="3" t="s">
        <v>89</v>
      </c>
      <c r="B57" s="3" t="s">
        <v>39</v>
      </c>
      <c r="C57" s="4">
        <v>51801.599999999999</v>
      </c>
      <c r="D57" s="4">
        <v>6661.5999999999985</v>
      </c>
      <c r="E57" s="5">
        <v>44454</v>
      </c>
      <c r="F57" s="3" t="s">
        <v>12</v>
      </c>
      <c r="G57" s="3" t="s">
        <v>13</v>
      </c>
      <c r="H57" s="3">
        <v>2021</v>
      </c>
      <c r="I57" t="s">
        <v>30</v>
      </c>
      <c r="J57" t="s">
        <v>27</v>
      </c>
    </row>
    <row r="58" spans="1:10" x14ac:dyDescent="0.25">
      <c r="A58" s="3" t="s">
        <v>90</v>
      </c>
      <c r="B58" s="3" t="s">
        <v>61</v>
      </c>
      <c r="C58" s="4">
        <v>9662.4</v>
      </c>
      <c r="D58" s="4">
        <v>2952.3999999999996</v>
      </c>
      <c r="E58" s="5">
        <v>44853</v>
      </c>
      <c r="F58" s="3" t="s">
        <v>57</v>
      </c>
      <c r="G58" s="3" t="s">
        <v>50</v>
      </c>
      <c r="H58" s="3">
        <v>2021</v>
      </c>
      <c r="I58" t="s">
        <v>32</v>
      </c>
      <c r="J58" t="s">
        <v>27</v>
      </c>
    </row>
    <row r="59" spans="1:10" x14ac:dyDescent="0.25">
      <c r="A59" s="3" t="s">
        <v>91</v>
      </c>
      <c r="B59" s="3" t="s">
        <v>61</v>
      </c>
      <c r="C59" s="4">
        <v>597408</v>
      </c>
      <c r="D59" s="4">
        <v>435128</v>
      </c>
      <c r="E59" s="5">
        <v>44561</v>
      </c>
      <c r="F59" s="3" t="s">
        <v>36</v>
      </c>
      <c r="G59" s="3" t="s">
        <v>50</v>
      </c>
      <c r="H59" s="3">
        <v>2021</v>
      </c>
      <c r="I59" t="s">
        <v>35</v>
      </c>
      <c r="J59" t="s">
        <v>27</v>
      </c>
    </row>
    <row r="60" spans="1:10" x14ac:dyDescent="0.25">
      <c r="A60" s="3" t="s">
        <v>80</v>
      </c>
      <c r="B60" s="3" t="s">
        <v>11</v>
      </c>
      <c r="C60" s="4">
        <v>7707.35</v>
      </c>
      <c r="D60" s="4">
        <v>1912.3500000000004</v>
      </c>
      <c r="E60" s="5">
        <v>44790</v>
      </c>
      <c r="F60" s="3" t="s">
        <v>25</v>
      </c>
      <c r="G60" s="3" t="s">
        <v>13</v>
      </c>
      <c r="H60" s="3">
        <v>2021</v>
      </c>
      <c r="I60" t="s">
        <v>30</v>
      </c>
      <c r="J60" t="s">
        <v>59</v>
      </c>
    </row>
    <row r="61" spans="1:10" x14ac:dyDescent="0.25">
      <c r="A61" s="3" t="s">
        <v>24</v>
      </c>
      <c r="B61" s="3" t="s">
        <v>17</v>
      </c>
      <c r="C61" s="4">
        <v>15620.85</v>
      </c>
      <c r="D61" s="4">
        <v>3875.8500000000004</v>
      </c>
      <c r="E61" s="5">
        <v>44832</v>
      </c>
      <c r="F61" s="3" t="s">
        <v>12</v>
      </c>
      <c r="G61" s="3" t="s">
        <v>13</v>
      </c>
      <c r="H61" s="3">
        <v>2021</v>
      </c>
      <c r="I61" t="s">
        <v>26</v>
      </c>
      <c r="J61" t="s">
        <v>15</v>
      </c>
    </row>
    <row r="62" spans="1:10" x14ac:dyDescent="0.25">
      <c r="A62" s="3" t="s">
        <v>78</v>
      </c>
      <c r="B62" s="3" t="s">
        <v>61</v>
      </c>
      <c r="C62" s="4">
        <v>7707.35</v>
      </c>
      <c r="D62" s="4">
        <v>1912.3500000000004</v>
      </c>
      <c r="E62" s="5">
        <v>44283</v>
      </c>
      <c r="F62" s="3" t="s">
        <v>55</v>
      </c>
      <c r="G62" s="3" t="s">
        <v>19</v>
      </c>
      <c r="H62" s="3">
        <v>2021</v>
      </c>
      <c r="I62" t="s">
        <v>22</v>
      </c>
      <c r="J62" t="s">
        <v>59</v>
      </c>
    </row>
    <row r="63" spans="1:10" x14ac:dyDescent="0.25">
      <c r="A63" s="3" t="s">
        <v>92</v>
      </c>
      <c r="B63" s="3" t="s">
        <v>45</v>
      </c>
      <c r="C63" s="4">
        <v>136756.4</v>
      </c>
      <c r="D63" s="4">
        <v>101676.4</v>
      </c>
      <c r="E63" s="5">
        <v>44705</v>
      </c>
      <c r="F63" s="3" t="s">
        <v>42</v>
      </c>
      <c r="G63" s="3" t="s">
        <v>48</v>
      </c>
      <c r="H63" s="3">
        <v>2021</v>
      </c>
      <c r="I63" t="s">
        <v>41</v>
      </c>
      <c r="J63" t="s">
        <v>37</v>
      </c>
    </row>
    <row r="64" spans="1:10" x14ac:dyDescent="0.25">
      <c r="A64" s="3" t="s">
        <v>93</v>
      </c>
      <c r="B64" s="3" t="s">
        <v>11</v>
      </c>
      <c r="C64" s="4">
        <v>239400</v>
      </c>
      <c r="D64" s="4">
        <v>52200</v>
      </c>
      <c r="E64" s="5">
        <v>44294</v>
      </c>
      <c r="F64" s="3" t="s">
        <v>47</v>
      </c>
      <c r="G64" s="3" t="s">
        <v>48</v>
      </c>
      <c r="H64" s="3">
        <v>2021</v>
      </c>
      <c r="I64" t="s">
        <v>14</v>
      </c>
      <c r="J64" t="s">
        <v>23</v>
      </c>
    </row>
    <row r="65" spans="1:10" x14ac:dyDescent="0.25">
      <c r="A65" s="3" t="s">
        <v>94</v>
      </c>
      <c r="B65" s="3" t="s">
        <v>11</v>
      </c>
      <c r="C65" s="4">
        <v>313500</v>
      </c>
      <c r="D65" s="4">
        <v>171050</v>
      </c>
      <c r="E65" s="5">
        <v>44216</v>
      </c>
      <c r="F65" s="3" t="s">
        <v>18</v>
      </c>
      <c r="G65" s="3" t="s">
        <v>19</v>
      </c>
      <c r="H65" s="3">
        <v>2021</v>
      </c>
      <c r="I65" t="s">
        <v>20</v>
      </c>
      <c r="J65" t="s">
        <v>27</v>
      </c>
    </row>
    <row r="66" spans="1:10" x14ac:dyDescent="0.25">
      <c r="A66" s="3" t="s">
        <v>24</v>
      </c>
      <c r="B66" s="3" t="s">
        <v>17</v>
      </c>
      <c r="C66" s="4">
        <v>408310</v>
      </c>
      <c r="D66" s="4">
        <v>389030</v>
      </c>
      <c r="E66" s="5">
        <v>44205</v>
      </c>
      <c r="F66" s="3" t="s">
        <v>18</v>
      </c>
      <c r="G66" s="3" t="s">
        <v>19</v>
      </c>
      <c r="H66" s="3">
        <v>2021</v>
      </c>
      <c r="I66" t="s">
        <v>26</v>
      </c>
      <c r="J66" t="s">
        <v>23</v>
      </c>
    </row>
    <row r="67" spans="1:10" x14ac:dyDescent="0.25">
      <c r="A67" s="3" t="s">
        <v>24</v>
      </c>
      <c r="B67" s="3" t="s">
        <v>17</v>
      </c>
      <c r="C67" s="4">
        <v>26391</v>
      </c>
      <c r="D67" s="4">
        <v>12501</v>
      </c>
      <c r="E67" s="5">
        <v>44546</v>
      </c>
      <c r="F67" s="3" t="s">
        <v>36</v>
      </c>
      <c r="G67" s="3" t="s">
        <v>50</v>
      </c>
      <c r="H67" s="3">
        <v>2021</v>
      </c>
      <c r="I67" t="s">
        <v>26</v>
      </c>
      <c r="J67" t="s">
        <v>15</v>
      </c>
    </row>
    <row r="68" spans="1:10" x14ac:dyDescent="0.25">
      <c r="A68" s="3" t="s">
        <v>95</v>
      </c>
      <c r="B68" s="3" t="s">
        <v>17</v>
      </c>
      <c r="C68" s="4">
        <v>83600</v>
      </c>
      <c r="D68" s="4">
        <v>-880</v>
      </c>
      <c r="E68" s="5">
        <v>44402</v>
      </c>
      <c r="F68" s="3" t="s">
        <v>29</v>
      </c>
      <c r="G68" s="3" t="s">
        <v>13</v>
      </c>
      <c r="H68" s="3">
        <v>2021</v>
      </c>
      <c r="I68" t="s">
        <v>22</v>
      </c>
      <c r="J68" t="s">
        <v>15</v>
      </c>
    </row>
    <row r="69" spans="1:10" x14ac:dyDescent="0.25">
      <c r="A69" s="3" t="s">
        <v>24</v>
      </c>
      <c r="B69" s="3" t="s">
        <v>17</v>
      </c>
      <c r="C69" s="4">
        <v>34238</v>
      </c>
      <c r="D69" s="4">
        <v>16218</v>
      </c>
      <c r="E69" s="5">
        <v>44469</v>
      </c>
      <c r="F69" s="3" t="s">
        <v>12</v>
      </c>
      <c r="G69" s="3" t="s">
        <v>13</v>
      </c>
      <c r="H69" s="3">
        <v>2021</v>
      </c>
      <c r="I69" t="s">
        <v>26</v>
      </c>
      <c r="J69" t="s">
        <v>27</v>
      </c>
    </row>
    <row r="70" spans="1:10" x14ac:dyDescent="0.25">
      <c r="A70" s="3" t="s">
        <v>96</v>
      </c>
      <c r="B70" s="3" t="s">
        <v>17</v>
      </c>
      <c r="C70" s="4">
        <v>14204.4</v>
      </c>
      <c r="D70" s="4">
        <v>3524.3999999999996</v>
      </c>
      <c r="E70" s="5">
        <v>44399</v>
      </c>
      <c r="F70" s="3" t="s">
        <v>29</v>
      </c>
      <c r="G70" s="3" t="s">
        <v>13</v>
      </c>
      <c r="H70" s="3">
        <v>2021</v>
      </c>
      <c r="I70" t="s">
        <v>26</v>
      </c>
      <c r="J70" t="s">
        <v>27</v>
      </c>
    </row>
    <row r="71" spans="1:10" x14ac:dyDescent="0.25">
      <c r="A71" s="3" t="s">
        <v>81</v>
      </c>
      <c r="B71" s="3" t="s">
        <v>17</v>
      </c>
      <c r="C71" s="4">
        <v>30153</v>
      </c>
      <c r="D71" s="4">
        <v>8993</v>
      </c>
      <c r="E71" s="5">
        <v>44636</v>
      </c>
      <c r="F71" s="3" t="s">
        <v>55</v>
      </c>
      <c r="G71" s="3" t="s">
        <v>19</v>
      </c>
      <c r="H71" s="3">
        <v>2021</v>
      </c>
      <c r="I71" t="s">
        <v>32</v>
      </c>
      <c r="J71" t="s">
        <v>59</v>
      </c>
    </row>
    <row r="72" spans="1:10" x14ac:dyDescent="0.25">
      <c r="A72" s="3" t="s">
        <v>97</v>
      </c>
      <c r="B72" s="3" t="s">
        <v>34</v>
      </c>
      <c r="C72" s="4">
        <v>83600</v>
      </c>
      <c r="D72" s="4">
        <v>-880</v>
      </c>
      <c r="E72" s="5">
        <v>44311</v>
      </c>
      <c r="F72" s="3" t="s">
        <v>47</v>
      </c>
      <c r="G72" s="3" t="s">
        <v>48</v>
      </c>
      <c r="H72" s="3">
        <v>2021</v>
      </c>
      <c r="I72" t="s">
        <v>30</v>
      </c>
      <c r="J72" t="s">
        <v>59</v>
      </c>
    </row>
    <row r="73" spans="1:10" x14ac:dyDescent="0.25">
      <c r="A73" s="3" t="s">
        <v>98</v>
      </c>
      <c r="B73" s="3" t="s">
        <v>34</v>
      </c>
      <c r="C73" s="4">
        <v>19627</v>
      </c>
      <c r="D73" s="4">
        <v>9297</v>
      </c>
      <c r="E73" s="5">
        <v>44862</v>
      </c>
      <c r="F73" s="3" t="s">
        <v>57</v>
      </c>
      <c r="G73" s="3" t="s">
        <v>50</v>
      </c>
      <c r="H73" s="3">
        <v>2021</v>
      </c>
      <c r="I73" t="s">
        <v>32</v>
      </c>
      <c r="J73" t="s">
        <v>15</v>
      </c>
    </row>
    <row r="74" spans="1:10" x14ac:dyDescent="0.25">
      <c r="A74" s="3" t="s">
        <v>99</v>
      </c>
      <c r="B74" s="3" t="s">
        <v>39</v>
      </c>
      <c r="C74" s="4">
        <v>26391</v>
      </c>
      <c r="D74" s="4">
        <v>12501</v>
      </c>
      <c r="E74" s="5">
        <v>44446</v>
      </c>
      <c r="F74" s="3" t="s">
        <v>12</v>
      </c>
      <c r="G74" s="3" t="s">
        <v>13</v>
      </c>
      <c r="H74" s="3">
        <v>2021</v>
      </c>
      <c r="I74" t="s">
        <v>35</v>
      </c>
      <c r="J74" t="s">
        <v>15</v>
      </c>
    </row>
    <row r="75" spans="1:10" x14ac:dyDescent="0.25">
      <c r="A75" s="3" t="s">
        <v>76</v>
      </c>
      <c r="B75" s="3" t="s">
        <v>39</v>
      </c>
      <c r="C75" s="4">
        <v>24035</v>
      </c>
      <c r="D75" s="4">
        <v>11385</v>
      </c>
      <c r="E75" s="5">
        <v>44380</v>
      </c>
      <c r="F75" s="3" t="s">
        <v>29</v>
      </c>
      <c r="G75" s="3" t="s">
        <v>13</v>
      </c>
      <c r="H75" s="3">
        <v>2021</v>
      </c>
      <c r="I75" t="s">
        <v>14</v>
      </c>
      <c r="J75" t="s">
        <v>23</v>
      </c>
    </row>
    <row r="76" spans="1:10" x14ac:dyDescent="0.25">
      <c r="A76" s="3" t="s">
        <v>100</v>
      </c>
      <c r="B76" s="3" t="s">
        <v>39</v>
      </c>
      <c r="C76" s="4">
        <v>43643</v>
      </c>
      <c r="D76" s="4">
        <v>20673</v>
      </c>
      <c r="E76" s="5">
        <v>44408</v>
      </c>
      <c r="F76" s="3" t="s">
        <v>29</v>
      </c>
      <c r="G76" s="3" t="s">
        <v>13</v>
      </c>
      <c r="H76" s="3">
        <v>2021</v>
      </c>
      <c r="I76" t="s">
        <v>41</v>
      </c>
      <c r="J76" t="s">
        <v>27</v>
      </c>
    </row>
    <row r="77" spans="1:10" x14ac:dyDescent="0.25">
      <c r="A77" s="3" t="s">
        <v>91</v>
      </c>
      <c r="B77" s="3" t="s">
        <v>61</v>
      </c>
      <c r="C77" s="4">
        <v>408310</v>
      </c>
      <c r="D77" s="4">
        <v>339030</v>
      </c>
      <c r="E77" s="5">
        <v>44572</v>
      </c>
      <c r="F77" s="3" t="s">
        <v>18</v>
      </c>
      <c r="G77" s="3" t="s">
        <v>19</v>
      </c>
      <c r="H77" s="3">
        <v>2021</v>
      </c>
      <c r="I77" t="s">
        <v>35</v>
      </c>
      <c r="J77" t="s">
        <v>15</v>
      </c>
    </row>
    <row r="78" spans="1:10" x14ac:dyDescent="0.25">
      <c r="A78" s="3" t="s">
        <v>79</v>
      </c>
      <c r="B78" s="3" t="s">
        <v>45</v>
      </c>
      <c r="C78" s="4">
        <v>25932.720000000001</v>
      </c>
      <c r="D78" s="4">
        <v>19035.72</v>
      </c>
      <c r="E78" s="5">
        <v>44562</v>
      </c>
      <c r="F78" s="3" t="s">
        <v>18</v>
      </c>
      <c r="G78" s="3" t="s">
        <v>19</v>
      </c>
      <c r="H78" s="3">
        <v>2021</v>
      </c>
      <c r="I78" t="s">
        <v>26</v>
      </c>
      <c r="J78" t="s">
        <v>23</v>
      </c>
    </row>
    <row r="79" spans="1:10" x14ac:dyDescent="0.25">
      <c r="A79" s="3" t="s">
        <v>101</v>
      </c>
      <c r="B79" s="3" t="s">
        <v>45</v>
      </c>
      <c r="C79" s="4">
        <v>1730.54</v>
      </c>
      <c r="D79" s="4">
        <v>415.53999999999996</v>
      </c>
      <c r="E79" s="5">
        <v>44301</v>
      </c>
      <c r="F79" s="3" t="s">
        <v>47</v>
      </c>
      <c r="G79" s="3" t="s">
        <v>48</v>
      </c>
      <c r="H79" s="3">
        <v>2021</v>
      </c>
      <c r="I79" t="s">
        <v>14</v>
      </c>
      <c r="J79" t="s">
        <v>37</v>
      </c>
    </row>
    <row r="80" spans="1:10" x14ac:dyDescent="0.25">
      <c r="A80" s="3" t="s">
        <v>102</v>
      </c>
      <c r="B80" s="3" t="s">
        <v>45</v>
      </c>
      <c r="C80" s="4">
        <v>104222.5</v>
      </c>
      <c r="D80" s="4">
        <v>97782.5</v>
      </c>
      <c r="E80" s="5">
        <v>44789</v>
      </c>
      <c r="F80" s="3" t="s">
        <v>25</v>
      </c>
      <c r="G80" s="3" t="s">
        <v>13</v>
      </c>
      <c r="H80" s="3">
        <v>2021</v>
      </c>
      <c r="I80" t="s">
        <v>20</v>
      </c>
      <c r="J80" t="s">
        <v>59</v>
      </c>
    </row>
    <row r="81" spans="1:10" x14ac:dyDescent="0.25">
      <c r="A81" s="3" t="s">
        <v>103</v>
      </c>
      <c r="B81" s="3" t="s">
        <v>11</v>
      </c>
      <c r="C81" s="4">
        <v>9231.74</v>
      </c>
      <c r="D81" s="4">
        <v>2216.7399999999998</v>
      </c>
      <c r="E81" s="5">
        <v>44829</v>
      </c>
      <c r="F81" s="3" t="s">
        <v>12</v>
      </c>
      <c r="G81" s="3" t="s">
        <v>13</v>
      </c>
      <c r="H81" s="3">
        <v>2021</v>
      </c>
      <c r="I81" t="s">
        <v>22</v>
      </c>
      <c r="J81" t="s">
        <v>15</v>
      </c>
    </row>
    <row r="82" spans="1:10" x14ac:dyDescent="0.25">
      <c r="A82" s="3" t="s">
        <v>104</v>
      </c>
      <c r="B82" s="3" t="s">
        <v>17</v>
      </c>
      <c r="C82" s="4">
        <v>25932.720000000001</v>
      </c>
      <c r="D82" s="4">
        <v>19035.72</v>
      </c>
      <c r="E82" s="5">
        <v>44311</v>
      </c>
      <c r="F82" s="3" t="s">
        <v>47</v>
      </c>
      <c r="G82" s="3" t="s">
        <v>48</v>
      </c>
      <c r="H82" s="3">
        <v>2021</v>
      </c>
      <c r="I82" t="s">
        <v>26</v>
      </c>
      <c r="J82" t="s">
        <v>15</v>
      </c>
    </row>
    <row r="83" spans="1:10" x14ac:dyDescent="0.25">
      <c r="A83" s="3" t="s">
        <v>70</v>
      </c>
      <c r="B83" s="3" t="s">
        <v>17</v>
      </c>
      <c r="C83" s="4">
        <v>239183</v>
      </c>
      <c r="D83" s="4">
        <v>150163</v>
      </c>
      <c r="E83" s="5">
        <v>44670</v>
      </c>
      <c r="F83" s="3" t="s">
        <v>47</v>
      </c>
      <c r="G83" s="3" t="s">
        <v>48</v>
      </c>
      <c r="H83" s="3">
        <v>2021</v>
      </c>
      <c r="I83" t="s">
        <v>22</v>
      </c>
      <c r="J83" t="s">
        <v>15</v>
      </c>
    </row>
    <row r="84" spans="1:10" x14ac:dyDescent="0.25">
      <c r="A84" s="3" t="s">
        <v>105</v>
      </c>
      <c r="B84" s="3" t="s">
        <v>34</v>
      </c>
      <c r="C84" s="4">
        <v>344322</v>
      </c>
      <c r="D84" s="4">
        <v>239072</v>
      </c>
      <c r="E84" s="5">
        <v>44341</v>
      </c>
      <c r="F84" s="3" t="s">
        <v>42</v>
      </c>
      <c r="G84" s="3" t="s">
        <v>48</v>
      </c>
      <c r="H84" s="3">
        <v>2021</v>
      </c>
      <c r="I84" t="s">
        <v>30</v>
      </c>
      <c r="J84" t="s">
        <v>27</v>
      </c>
    </row>
    <row r="85" spans="1:10" x14ac:dyDescent="0.25">
      <c r="A85" s="3" t="s">
        <v>98</v>
      </c>
      <c r="B85" s="3" t="s">
        <v>34</v>
      </c>
      <c r="C85" s="4">
        <v>683004</v>
      </c>
      <c r="D85" s="4">
        <v>543244</v>
      </c>
      <c r="E85" s="5">
        <v>44463</v>
      </c>
      <c r="F85" s="3" t="s">
        <v>12</v>
      </c>
      <c r="G85" s="3" t="s">
        <v>13</v>
      </c>
      <c r="H85" s="3">
        <v>2021</v>
      </c>
      <c r="I85" t="s">
        <v>32</v>
      </c>
      <c r="J85" t="s">
        <v>27</v>
      </c>
    </row>
    <row r="86" spans="1:10" x14ac:dyDescent="0.25">
      <c r="A86" s="3" t="s">
        <v>106</v>
      </c>
      <c r="B86" s="3" t="s">
        <v>39</v>
      </c>
      <c r="C86" s="4">
        <v>344322</v>
      </c>
      <c r="D86" s="4">
        <v>239072</v>
      </c>
      <c r="E86" s="5">
        <v>44428</v>
      </c>
      <c r="F86" s="3" t="s">
        <v>25</v>
      </c>
      <c r="G86" s="3" t="s">
        <v>13</v>
      </c>
      <c r="H86" s="3">
        <v>2021</v>
      </c>
      <c r="I86" t="s">
        <v>32</v>
      </c>
      <c r="J86" t="s">
        <v>15</v>
      </c>
    </row>
    <row r="87" spans="1:10" x14ac:dyDescent="0.25">
      <c r="A87" s="3" t="s">
        <v>77</v>
      </c>
      <c r="B87" s="3" t="s">
        <v>39</v>
      </c>
      <c r="C87" s="4">
        <v>21112.400000000001</v>
      </c>
      <c r="D87" s="4">
        <v>9882.4000000000015</v>
      </c>
      <c r="E87" s="5">
        <v>44767</v>
      </c>
      <c r="F87" s="3" t="s">
        <v>29</v>
      </c>
      <c r="G87" s="3" t="s">
        <v>13</v>
      </c>
      <c r="H87" s="3">
        <v>2021</v>
      </c>
      <c r="I87" t="s">
        <v>20</v>
      </c>
      <c r="J87" t="s">
        <v>37</v>
      </c>
    </row>
    <row r="88" spans="1:10" x14ac:dyDescent="0.25">
      <c r="A88" s="3" t="s">
        <v>107</v>
      </c>
      <c r="B88" s="3" t="s">
        <v>39</v>
      </c>
      <c r="C88" s="4">
        <v>686952</v>
      </c>
      <c r="D88" s="4">
        <v>577952</v>
      </c>
      <c r="E88" s="5">
        <v>44260</v>
      </c>
      <c r="F88" s="3" t="s">
        <v>55</v>
      </c>
      <c r="G88" s="3" t="s">
        <v>19</v>
      </c>
      <c r="H88" s="3">
        <v>2021</v>
      </c>
      <c r="I88" t="s">
        <v>35</v>
      </c>
      <c r="J88" t="s">
        <v>15</v>
      </c>
    </row>
    <row r="89" spans="1:10" x14ac:dyDescent="0.25">
      <c r="A89" s="3" t="s">
        <v>108</v>
      </c>
      <c r="B89" s="3" t="s">
        <v>61</v>
      </c>
      <c r="C89" s="4">
        <v>239183</v>
      </c>
      <c r="D89" s="4">
        <v>150163</v>
      </c>
      <c r="E89" s="5">
        <v>44613</v>
      </c>
      <c r="F89" s="3" t="s">
        <v>40</v>
      </c>
      <c r="G89" s="3" t="s">
        <v>19</v>
      </c>
      <c r="H89" s="3">
        <v>2021</v>
      </c>
      <c r="I89" t="s">
        <v>41</v>
      </c>
      <c r="J89" t="s">
        <v>15</v>
      </c>
    </row>
    <row r="90" spans="1:10" x14ac:dyDescent="0.25">
      <c r="A90" s="3" t="s">
        <v>109</v>
      </c>
      <c r="B90" s="3" t="s">
        <v>61</v>
      </c>
      <c r="C90" s="4">
        <v>9231.74</v>
      </c>
      <c r="D90" s="4">
        <v>2216.7399999999998</v>
      </c>
      <c r="E90" s="5">
        <v>44447</v>
      </c>
      <c r="F90" s="3" t="s">
        <v>12</v>
      </c>
      <c r="G90" s="3" t="s">
        <v>13</v>
      </c>
      <c r="H90" s="3">
        <v>2021</v>
      </c>
      <c r="I90" t="s">
        <v>14</v>
      </c>
      <c r="J90" t="s">
        <v>15</v>
      </c>
    </row>
    <row r="91" spans="1:10" x14ac:dyDescent="0.25">
      <c r="A91" s="3" t="s">
        <v>109</v>
      </c>
      <c r="B91" s="3" t="s">
        <v>61</v>
      </c>
      <c r="C91" s="4">
        <v>683004</v>
      </c>
      <c r="D91" s="4">
        <v>543244</v>
      </c>
      <c r="E91" s="5">
        <v>44794</v>
      </c>
      <c r="F91" s="3" t="s">
        <v>25</v>
      </c>
      <c r="G91" s="3" t="s">
        <v>13</v>
      </c>
      <c r="H91" s="3">
        <v>2021</v>
      </c>
      <c r="I91" t="s">
        <v>14</v>
      </c>
      <c r="J91" t="s">
        <v>15</v>
      </c>
    </row>
    <row r="92" spans="1:10" x14ac:dyDescent="0.25">
      <c r="A92" s="3" t="s">
        <v>103</v>
      </c>
      <c r="B92" s="3" t="s">
        <v>11</v>
      </c>
      <c r="C92" s="4">
        <v>33031.599999999999</v>
      </c>
      <c r="D92" s="4">
        <v>15461.599999999999</v>
      </c>
      <c r="E92" s="5">
        <v>44699</v>
      </c>
      <c r="F92" s="3" t="s">
        <v>42</v>
      </c>
      <c r="G92" s="3" t="s">
        <v>48</v>
      </c>
      <c r="H92" s="3">
        <v>2021</v>
      </c>
      <c r="I92" t="s">
        <v>22</v>
      </c>
      <c r="J92" t="s">
        <v>27</v>
      </c>
    </row>
    <row r="93" spans="1:10" x14ac:dyDescent="0.25">
      <c r="A93" s="3" t="s">
        <v>96</v>
      </c>
      <c r="B93" s="3" t="s">
        <v>17</v>
      </c>
      <c r="C93" s="4">
        <v>33031.599999999999</v>
      </c>
      <c r="D93" s="4">
        <v>15461.599999999999</v>
      </c>
      <c r="E93" s="5">
        <v>44802</v>
      </c>
      <c r="F93" s="3" t="s">
        <v>25</v>
      </c>
      <c r="G93" s="3" t="s">
        <v>13</v>
      </c>
      <c r="H93" s="3">
        <v>2021</v>
      </c>
      <c r="I93" t="s">
        <v>26</v>
      </c>
      <c r="J93" t="s">
        <v>23</v>
      </c>
    </row>
    <row r="94" spans="1:10" x14ac:dyDescent="0.25">
      <c r="A94" s="3" t="s">
        <v>110</v>
      </c>
      <c r="B94" s="3" t="s">
        <v>45</v>
      </c>
      <c r="C94" s="4">
        <v>34112.400000000001</v>
      </c>
      <c r="D94" s="4">
        <v>15772.400000000001</v>
      </c>
      <c r="E94" s="5">
        <v>44674</v>
      </c>
      <c r="F94" s="3" t="s">
        <v>47</v>
      </c>
      <c r="G94" s="3" t="s">
        <v>48</v>
      </c>
      <c r="H94" s="3">
        <v>2021</v>
      </c>
      <c r="I94" t="s">
        <v>20</v>
      </c>
      <c r="J94" t="s">
        <v>15</v>
      </c>
    </row>
    <row r="95" spans="1:10" x14ac:dyDescent="0.25">
      <c r="A95" s="3" t="s">
        <v>96</v>
      </c>
      <c r="B95" s="3" t="s">
        <v>17</v>
      </c>
      <c r="C95" s="4">
        <v>6711.81</v>
      </c>
      <c r="D95" s="4">
        <v>1556.8100000000004</v>
      </c>
      <c r="E95" s="5">
        <v>44598</v>
      </c>
      <c r="F95" s="3" t="s">
        <v>40</v>
      </c>
      <c r="G95" s="3" t="s">
        <v>19</v>
      </c>
      <c r="H95" s="3">
        <v>2021</v>
      </c>
      <c r="I95" t="s">
        <v>26</v>
      </c>
      <c r="J95" t="s">
        <v>15</v>
      </c>
    </row>
    <row r="96" spans="1:10" x14ac:dyDescent="0.25">
      <c r="A96" s="3" t="s">
        <v>111</v>
      </c>
      <c r="B96" s="3" t="s">
        <v>39</v>
      </c>
      <c r="C96" s="4">
        <v>24719.4</v>
      </c>
      <c r="D96" s="4">
        <v>18074.400000000001</v>
      </c>
      <c r="E96" s="5">
        <v>44198</v>
      </c>
      <c r="F96" s="3" t="s">
        <v>18</v>
      </c>
      <c r="G96" s="3" t="s">
        <v>19</v>
      </c>
      <c r="H96" s="3">
        <v>2021</v>
      </c>
      <c r="I96" t="s">
        <v>22</v>
      </c>
      <c r="J96" t="s">
        <v>37</v>
      </c>
    </row>
    <row r="97" spans="1:10" x14ac:dyDescent="0.25">
      <c r="A97" s="3" t="s">
        <v>112</v>
      </c>
      <c r="B97" s="3" t="s">
        <v>11</v>
      </c>
      <c r="C97" s="4">
        <v>290625</v>
      </c>
      <c r="D97" s="4">
        <v>-9375</v>
      </c>
      <c r="E97" s="5">
        <v>44268</v>
      </c>
      <c r="F97" s="3" t="s">
        <v>55</v>
      </c>
      <c r="G97" s="3" t="s">
        <v>19</v>
      </c>
      <c r="H97" s="3">
        <v>2021</v>
      </c>
      <c r="I97" t="s">
        <v>26</v>
      </c>
      <c r="J97" t="s">
        <v>27</v>
      </c>
    </row>
    <row r="98" spans="1:10" x14ac:dyDescent="0.25">
      <c r="A98" s="3" t="s">
        <v>69</v>
      </c>
      <c r="B98" s="3" t="s">
        <v>17</v>
      </c>
      <c r="C98" s="4">
        <v>40887.449999999997</v>
      </c>
      <c r="D98" s="4">
        <v>11577.449999999997</v>
      </c>
      <c r="E98" s="5">
        <v>44451</v>
      </c>
      <c r="F98" s="3" t="s">
        <v>12</v>
      </c>
      <c r="G98" s="3" t="s">
        <v>13</v>
      </c>
      <c r="H98" s="3">
        <v>2021</v>
      </c>
      <c r="I98" t="s">
        <v>20</v>
      </c>
      <c r="J98" t="s">
        <v>15</v>
      </c>
    </row>
    <row r="99" spans="1:10" x14ac:dyDescent="0.25">
      <c r="A99" s="3" t="s">
        <v>113</v>
      </c>
      <c r="B99" s="3" t="s">
        <v>17</v>
      </c>
      <c r="C99" s="4">
        <v>313317</v>
      </c>
      <c r="D99" s="4">
        <v>182567</v>
      </c>
      <c r="E99" s="5">
        <v>44363</v>
      </c>
      <c r="F99" s="3" t="s">
        <v>88</v>
      </c>
      <c r="G99" s="3" t="s">
        <v>48</v>
      </c>
      <c r="H99" s="3">
        <v>2021</v>
      </c>
      <c r="I99" t="s">
        <v>30</v>
      </c>
      <c r="J99" t="s">
        <v>15</v>
      </c>
    </row>
    <row r="100" spans="1:10" x14ac:dyDescent="0.25">
      <c r="A100" s="3" t="s">
        <v>114</v>
      </c>
      <c r="B100" s="3" t="s">
        <v>17</v>
      </c>
      <c r="C100" s="4">
        <v>391716</v>
      </c>
      <c r="D100" s="4">
        <v>190716</v>
      </c>
      <c r="E100" s="5">
        <v>44700</v>
      </c>
      <c r="F100" s="3" t="s">
        <v>42</v>
      </c>
      <c r="G100" s="3" t="s">
        <v>48</v>
      </c>
      <c r="H100" s="3">
        <v>2021</v>
      </c>
      <c r="I100" t="s">
        <v>32</v>
      </c>
      <c r="J100" t="s">
        <v>23</v>
      </c>
    </row>
    <row r="101" spans="1:10" x14ac:dyDescent="0.25">
      <c r="A101" s="3" t="s">
        <v>115</v>
      </c>
      <c r="B101" s="3" t="s">
        <v>17</v>
      </c>
      <c r="C101" s="4">
        <v>30835.08</v>
      </c>
      <c r="D101" s="4">
        <v>22546.080000000002</v>
      </c>
      <c r="E101" s="5">
        <v>44293</v>
      </c>
      <c r="F101" s="3" t="s">
        <v>47</v>
      </c>
      <c r="G101" s="3" t="s">
        <v>48</v>
      </c>
      <c r="H101" s="3">
        <v>2021</v>
      </c>
      <c r="I101" t="s">
        <v>35</v>
      </c>
      <c r="J101" t="s">
        <v>37</v>
      </c>
    </row>
    <row r="102" spans="1:10" x14ac:dyDescent="0.25">
      <c r="A102" s="3" t="s">
        <v>116</v>
      </c>
      <c r="B102" s="3" t="s">
        <v>17</v>
      </c>
      <c r="C102" s="4">
        <v>13833.75</v>
      </c>
      <c r="D102" s="4">
        <v>3208.75</v>
      </c>
      <c r="E102" s="5">
        <v>44726</v>
      </c>
      <c r="F102" s="3" t="s">
        <v>88</v>
      </c>
      <c r="G102" s="3" t="s">
        <v>48</v>
      </c>
      <c r="H102" s="3">
        <v>2021</v>
      </c>
      <c r="I102" t="s">
        <v>41</v>
      </c>
      <c r="J102" t="s">
        <v>27</v>
      </c>
    </row>
    <row r="103" spans="1:10" x14ac:dyDescent="0.25">
      <c r="A103" s="3" t="s">
        <v>84</v>
      </c>
      <c r="B103" s="3" t="s">
        <v>34</v>
      </c>
      <c r="C103" s="4">
        <v>26430.6</v>
      </c>
      <c r="D103" s="4">
        <v>12220.599999999999</v>
      </c>
      <c r="E103" s="5">
        <v>44603</v>
      </c>
      <c r="F103" s="3" t="s">
        <v>40</v>
      </c>
      <c r="G103" s="3" t="s">
        <v>19</v>
      </c>
      <c r="H103" s="3">
        <v>2021</v>
      </c>
      <c r="I103" t="s">
        <v>14</v>
      </c>
      <c r="J103" t="s">
        <v>23</v>
      </c>
    </row>
    <row r="104" spans="1:10" x14ac:dyDescent="0.25">
      <c r="A104" s="3" t="s">
        <v>71</v>
      </c>
      <c r="B104" s="3" t="s">
        <v>34</v>
      </c>
      <c r="C104" s="4">
        <v>10936.8</v>
      </c>
      <c r="D104" s="4">
        <v>5056.7999999999993</v>
      </c>
      <c r="E104" s="5">
        <v>44686</v>
      </c>
      <c r="F104" s="3" t="s">
        <v>42</v>
      </c>
      <c r="G104" s="3" t="s">
        <v>48</v>
      </c>
      <c r="H104" s="3">
        <v>2021</v>
      </c>
      <c r="I104" t="s">
        <v>26</v>
      </c>
      <c r="J104" t="s">
        <v>15</v>
      </c>
    </row>
    <row r="105" spans="1:10" x14ac:dyDescent="0.25">
      <c r="A105" s="3" t="s">
        <v>117</v>
      </c>
      <c r="B105" s="3" t="s">
        <v>61</v>
      </c>
      <c r="C105" s="4">
        <v>115552.5</v>
      </c>
      <c r="D105" s="4">
        <v>96272.5</v>
      </c>
      <c r="E105" s="5">
        <v>44718</v>
      </c>
      <c r="F105" s="3" t="s">
        <v>88</v>
      </c>
      <c r="G105" s="3" t="s">
        <v>48</v>
      </c>
      <c r="H105" s="3">
        <v>2021</v>
      </c>
      <c r="I105" t="s">
        <v>14</v>
      </c>
      <c r="J105" t="s">
        <v>23</v>
      </c>
    </row>
    <row r="106" spans="1:10" x14ac:dyDescent="0.25">
      <c r="A106" s="3" t="s">
        <v>118</v>
      </c>
      <c r="B106" s="3" t="s">
        <v>11</v>
      </c>
      <c r="C106" s="4">
        <v>354108</v>
      </c>
      <c r="D106" s="4">
        <v>133358</v>
      </c>
      <c r="E106" s="5">
        <v>44421</v>
      </c>
      <c r="F106" s="3" t="s">
        <v>25</v>
      </c>
      <c r="G106" s="3" t="s">
        <v>13</v>
      </c>
      <c r="H106" s="3">
        <v>2021</v>
      </c>
      <c r="I106" t="s">
        <v>20</v>
      </c>
      <c r="J106" t="s">
        <v>27</v>
      </c>
    </row>
    <row r="107" spans="1:10" x14ac:dyDescent="0.25">
      <c r="A107" s="3" t="s">
        <v>116</v>
      </c>
      <c r="B107" s="3" t="s">
        <v>17</v>
      </c>
      <c r="C107" s="4">
        <v>15513.96</v>
      </c>
      <c r="D107" s="4">
        <v>3468.9599999999991</v>
      </c>
      <c r="E107" s="5">
        <v>44879</v>
      </c>
      <c r="F107" s="3" t="s">
        <v>43</v>
      </c>
      <c r="G107" s="3" t="s">
        <v>50</v>
      </c>
      <c r="H107" s="3">
        <v>2021</v>
      </c>
      <c r="I107" t="s">
        <v>41</v>
      </c>
      <c r="J107" t="s">
        <v>37</v>
      </c>
    </row>
    <row r="108" spans="1:10" x14ac:dyDescent="0.25">
      <c r="A108" s="3" t="s">
        <v>116</v>
      </c>
      <c r="B108" s="3" t="s">
        <v>17</v>
      </c>
      <c r="C108" s="4">
        <v>691012</v>
      </c>
      <c r="D108" s="4">
        <v>533052</v>
      </c>
      <c r="E108" s="5">
        <v>44490</v>
      </c>
      <c r="F108" s="3" t="s">
        <v>57</v>
      </c>
      <c r="G108" s="3" t="s">
        <v>50</v>
      </c>
      <c r="H108" s="3">
        <v>2021</v>
      </c>
      <c r="I108" t="s">
        <v>41</v>
      </c>
      <c r="J108" t="s">
        <v>23</v>
      </c>
    </row>
    <row r="109" spans="1:10" x14ac:dyDescent="0.25">
      <c r="A109" s="3" t="s">
        <v>83</v>
      </c>
      <c r="B109" s="3" t="s">
        <v>17</v>
      </c>
      <c r="C109" s="4">
        <v>12532.24</v>
      </c>
      <c r="D109" s="4">
        <v>2802.24</v>
      </c>
      <c r="E109" s="5">
        <v>44243</v>
      </c>
      <c r="F109" s="3" t="s">
        <v>40</v>
      </c>
      <c r="G109" s="3" t="s">
        <v>19</v>
      </c>
      <c r="H109" s="3">
        <v>2021</v>
      </c>
      <c r="I109" t="s">
        <v>41</v>
      </c>
      <c r="J109" t="s">
        <v>59</v>
      </c>
    </row>
    <row r="110" spans="1:10" x14ac:dyDescent="0.25">
      <c r="A110" s="3" t="s">
        <v>105</v>
      </c>
      <c r="B110" s="3" t="s">
        <v>34</v>
      </c>
      <c r="C110" s="4">
        <v>106536</v>
      </c>
      <c r="D110" s="4">
        <v>10036</v>
      </c>
      <c r="E110" s="5">
        <v>44877</v>
      </c>
      <c r="F110" s="3" t="s">
        <v>43</v>
      </c>
      <c r="G110" s="3" t="s">
        <v>50</v>
      </c>
      <c r="H110" s="3">
        <v>2021</v>
      </c>
      <c r="I110" t="s">
        <v>30</v>
      </c>
      <c r="J110" t="s">
        <v>23</v>
      </c>
    </row>
    <row r="111" spans="1:10" x14ac:dyDescent="0.25">
      <c r="A111" s="3" t="s">
        <v>119</v>
      </c>
      <c r="B111" s="3" t="s">
        <v>39</v>
      </c>
      <c r="C111" s="4">
        <v>223008</v>
      </c>
      <c r="D111" s="4">
        <v>202149</v>
      </c>
      <c r="E111" s="5">
        <v>44742</v>
      </c>
      <c r="F111" s="3" t="s">
        <v>88</v>
      </c>
      <c r="G111" s="3" t="s">
        <v>48</v>
      </c>
      <c r="H111" s="3">
        <v>2021</v>
      </c>
      <c r="I111" t="s">
        <v>22</v>
      </c>
      <c r="J111" t="s">
        <v>15</v>
      </c>
    </row>
    <row r="112" spans="1:10" x14ac:dyDescent="0.25">
      <c r="A112" s="3" t="s">
        <v>120</v>
      </c>
      <c r="B112" s="3" t="s">
        <v>61</v>
      </c>
      <c r="C112" s="4">
        <v>15180</v>
      </c>
      <c r="D112" s="4">
        <v>11055</v>
      </c>
      <c r="E112" s="5">
        <v>44841</v>
      </c>
      <c r="F112" s="3" t="s">
        <v>57</v>
      </c>
      <c r="G112" s="3" t="s">
        <v>50</v>
      </c>
      <c r="H112" s="3">
        <v>2021</v>
      </c>
      <c r="I112" t="s">
        <v>26</v>
      </c>
      <c r="J112" t="s">
        <v>59</v>
      </c>
    </row>
    <row r="113" spans="1:10" x14ac:dyDescent="0.25">
      <c r="A113" s="3" t="s">
        <v>121</v>
      </c>
      <c r="B113" s="3" t="s">
        <v>45</v>
      </c>
      <c r="C113" s="4">
        <v>134007.64000000001</v>
      </c>
      <c r="D113" s="4">
        <v>102906.64</v>
      </c>
      <c r="E113" s="5">
        <v>44609</v>
      </c>
      <c r="F113" s="3" t="s">
        <v>40</v>
      </c>
      <c r="G113" s="3" t="s">
        <v>19</v>
      </c>
      <c r="H113" s="3">
        <v>2021</v>
      </c>
      <c r="I113" t="s">
        <v>30</v>
      </c>
      <c r="J113" t="s">
        <v>27</v>
      </c>
    </row>
    <row r="114" spans="1:10" x14ac:dyDescent="0.25">
      <c r="A114" s="3" t="s">
        <v>122</v>
      </c>
      <c r="B114" s="3" t="s">
        <v>11</v>
      </c>
      <c r="C114" s="4">
        <v>87906</v>
      </c>
      <c r="D114" s="4">
        <v>7406</v>
      </c>
      <c r="E114" s="5">
        <v>44361</v>
      </c>
      <c r="F114" s="3" t="s">
        <v>88</v>
      </c>
      <c r="G114" s="3" t="s">
        <v>48</v>
      </c>
      <c r="H114" s="3">
        <v>2021</v>
      </c>
      <c r="I114" t="s">
        <v>32</v>
      </c>
      <c r="J114" t="s">
        <v>37</v>
      </c>
    </row>
    <row r="115" spans="1:10" x14ac:dyDescent="0.25">
      <c r="A115" s="3" t="s">
        <v>123</v>
      </c>
      <c r="B115" s="3" t="s">
        <v>11</v>
      </c>
      <c r="C115" s="4">
        <v>211233.75</v>
      </c>
      <c r="D115" s="4">
        <v>-11606.25</v>
      </c>
      <c r="E115" s="5">
        <v>44680</v>
      </c>
      <c r="F115" s="3" t="s">
        <v>47</v>
      </c>
      <c r="G115" s="3" t="s">
        <v>48</v>
      </c>
      <c r="H115" s="3">
        <v>2021</v>
      </c>
      <c r="I115" t="s">
        <v>35</v>
      </c>
      <c r="J115" t="s">
        <v>15</v>
      </c>
    </row>
    <row r="116" spans="1:10" x14ac:dyDescent="0.25">
      <c r="A116" s="3" t="s">
        <v>86</v>
      </c>
      <c r="B116" s="3" t="s">
        <v>11</v>
      </c>
      <c r="C116" s="4">
        <v>10262.07</v>
      </c>
      <c r="D116" s="4">
        <v>2207.0699999999997</v>
      </c>
      <c r="E116" s="5">
        <v>44895</v>
      </c>
      <c r="F116" s="3" t="s">
        <v>43</v>
      </c>
      <c r="G116" s="3" t="s">
        <v>50</v>
      </c>
      <c r="H116" s="3">
        <v>2021</v>
      </c>
      <c r="I116" t="s">
        <v>22</v>
      </c>
      <c r="J116" t="s">
        <v>27</v>
      </c>
    </row>
    <row r="117" spans="1:10" x14ac:dyDescent="0.25">
      <c r="A117" s="3" t="s">
        <v>124</v>
      </c>
      <c r="B117" s="3" t="s">
        <v>11</v>
      </c>
      <c r="C117" s="4">
        <v>91182</v>
      </c>
      <c r="D117" s="4">
        <v>7682</v>
      </c>
      <c r="E117" s="5">
        <v>44639</v>
      </c>
      <c r="F117" s="3" t="s">
        <v>55</v>
      </c>
      <c r="G117" s="3" t="s">
        <v>19</v>
      </c>
      <c r="H117" s="3">
        <v>2021</v>
      </c>
      <c r="I117" t="s">
        <v>41</v>
      </c>
      <c r="J117" t="s">
        <v>15</v>
      </c>
    </row>
    <row r="118" spans="1:10" x14ac:dyDescent="0.25">
      <c r="A118" s="3" t="s">
        <v>115</v>
      </c>
      <c r="B118" s="3" t="s">
        <v>17</v>
      </c>
      <c r="C118" s="4">
        <v>4007.64</v>
      </c>
      <c r="D118" s="4">
        <v>2906.64</v>
      </c>
      <c r="E118" s="5">
        <v>44737</v>
      </c>
      <c r="F118" s="3" t="s">
        <v>88</v>
      </c>
      <c r="G118" s="3" t="s">
        <v>48</v>
      </c>
      <c r="H118" s="3">
        <v>2021</v>
      </c>
      <c r="I118" t="s">
        <v>35</v>
      </c>
      <c r="J118" t="s">
        <v>59</v>
      </c>
    </row>
    <row r="119" spans="1:10" x14ac:dyDescent="0.25">
      <c r="A119" s="3" t="s">
        <v>53</v>
      </c>
      <c r="B119" s="3" t="s">
        <v>17</v>
      </c>
      <c r="C119" s="4">
        <v>19383</v>
      </c>
      <c r="D119" s="4">
        <v>14058</v>
      </c>
      <c r="E119" s="5">
        <v>44629</v>
      </c>
      <c r="F119" s="3" t="s">
        <v>55</v>
      </c>
      <c r="G119" s="3" t="s">
        <v>19</v>
      </c>
      <c r="H119" s="3">
        <v>2021</v>
      </c>
      <c r="I119" t="s">
        <v>32</v>
      </c>
      <c r="J119" t="s">
        <v>27</v>
      </c>
    </row>
    <row r="120" spans="1:10" x14ac:dyDescent="0.25">
      <c r="A120" s="3" t="s">
        <v>125</v>
      </c>
      <c r="B120" s="3" t="s">
        <v>39</v>
      </c>
      <c r="C120" s="4">
        <v>24395.279999999999</v>
      </c>
      <c r="D120" s="4">
        <v>17693.28</v>
      </c>
      <c r="E120" s="5">
        <v>44388</v>
      </c>
      <c r="F120" s="3" t="s">
        <v>29</v>
      </c>
      <c r="G120" s="3" t="s">
        <v>13</v>
      </c>
      <c r="H120" s="3">
        <v>2021</v>
      </c>
      <c r="I120" t="s">
        <v>14</v>
      </c>
      <c r="J120" t="s">
        <v>59</v>
      </c>
    </row>
    <row r="121" spans="1:10" x14ac:dyDescent="0.25">
      <c r="A121" s="3" t="s">
        <v>126</v>
      </c>
      <c r="B121" s="3" t="s">
        <v>61</v>
      </c>
      <c r="C121" s="4">
        <v>13240.5</v>
      </c>
      <c r="D121" s="4">
        <v>3540.5</v>
      </c>
      <c r="E121" s="5">
        <v>44789</v>
      </c>
      <c r="F121" s="3" t="s">
        <v>25</v>
      </c>
      <c r="G121" s="3" t="s">
        <v>13</v>
      </c>
      <c r="H121" s="3">
        <v>2021</v>
      </c>
      <c r="I121" t="s">
        <v>20</v>
      </c>
      <c r="J121" t="s">
        <v>27</v>
      </c>
    </row>
    <row r="122" spans="1:10" x14ac:dyDescent="0.25">
      <c r="A122" s="3" t="s">
        <v>38</v>
      </c>
      <c r="B122" s="3" t="s">
        <v>39</v>
      </c>
      <c r="C122" s="4">
        <v>48812.4</v>
      </c>
      <c r="D122" s="4">
        <v>21992.400000000001</v>
      </c>
      <c r="E122" s="5">
        <v>44581</v>
      </c>
      <c r="F122" s="3" t="s">
        <v>18</v>
      </c>
      <c r="G122" s="3" t="s">
        <v>19</v>
      </c>
      <c r="H122" s="3">
        <v>2021</v>
      </c>
      <c r="I122" t="s">
        <v>41</v>
      </c>
      <c r="J122" t="s">
        <v>15</v>
      </c>
    </row>
    <row r="123" spans="1:10" x14ac:dyDescent="0.25">
      <c r="A123" s="3" t="s">
        <v>127</v>
      </c>
      <c r="B123" s="3" t="s">
        <v>61</v>
      </c>
      <c r="C123" s="4">
        <v>3341.52</v>
      </c>
      <c r="D123" s="4">
        <v>2423.52</v>
      </c>
      <c r="E123" s="5">
        <v>44512</v>
      </c>
      <c r="F123" s="3" t="s">
        <v>43</v>
      </c>
      <c r="G123" s="3" t="s">
        <v>50</v>
      </c>
      <c r="H123" s="3">
        <v>2021</v>
      </c>
      <c r="I123" t="s">
        <v>22</v>
      </c>
      <c r="J123" t="s">
        <v>59</v>
      </c>
    </row>
    <row r="124" spans="1:10" x14ac:dyDescent="0.25">
      <c r="A124" s="3" t="s">
        <v>128</v>
      </c>
      <c r="B124" s="3" t="s">
        <v>45</v>
      </c>
      <c r="C124" s="4">
        <v>4168.8</v>
      </c>
      <c r="D124" s="4">
        <v>3010.8</v>
      </c>
      <c r="E124" s="5">
        <v>44794</v>
      </c>
      <c r="F124" s="3" t="s">
        <v>25</v>
      </c>
      <c r="G124" s="3" t="s">
        <v>13</v>
      </c>
      <c r="H124" s="3">
        <v>2021</v>
      </c>
      <c r="I124" t="s">
        <v>26</v>
      </c>
      <c r="J124" t="s">
        <v>59</v>
      </c>
    </row>
    <row r="125" spans="1:10" x14ac:dyDescent="0.25">
      <c r="A125" s="3" t="s">
        <v>28</v>
      </c>
      <c r="B125" s="3" t="s">
        <v>17</v>
      </c>
      <c r="C125" s="4">
        <v>4168.8</v>
      </c>
      <c r="D125" s="4">
        <v>3010.8</v>
      </c>
      <c r="E125" s="5">
        <v>44574</v>
      </c>
      <c r="F125" s="3" t="s">
        <v>18</v>
      </c>
      <c r="G125" s="3" t="s">
        <v>19</v>
      </c>
      <c r="H125" s="3">
        <v>2021</v>
      </c>
      <c r="I125" t="s">
        <v>30</v>
      </c>
      <c r="J125" t="s">
        <v>37</v>
      </c>
    </row>
    <row r="126" spans="1:10" x14ac:dyDescent="0.25">
      <c r="A126" s="3" t="s">
        <v>129</v>
      </c>
      <c r="B126" s="3" t="s">
        <v>45</v>
      </c>
      <c r="C126" s="4">
        <v>166725</v>
      </c>
      <c r="D126" s="4">
        <v>138885</v>
      </c>
      <c r="E126" s="5">
        <v>44679</v>
      </c>
      <c r="F126" s="3" t="s">
        <v>47</v>
      </c>
      <c r="G126" s="3" t="s">
        <v>48</v>
      </c>
      <c r="H126" s="3">
        <v>2021</v>
      </c>
      <c r="I126" t="s">
        <v>30</v>
      </c>
      <c r="J126" t="s">
        <v>37</v>
      </c>
    </row>
    <row r="127" spans="1:10" x14ac:dyDescent="0.25">
      <c r="A127" s="3" t="s">
        <v>52</v>
      </c>
      <c r="B127" s="3" t="s">
        <v>11</v>
      </c>
      <c r="C127" s="4">
        <v>202950</v>
      </c>
      <c r="D127" s="4">
        <v>-13530</v>
      </c>
      <c r="E127" s="5">
        <v>44672</v>
      </c>
      <c r="F127" s="3" t="s">
        <v>47</v>
      </c>
      <c r="G127" s="3" t="s">
        <v>48</v>
      </c>
      <c r="H127" s="3">
        <v>2021</v>
      </c>
      <c r="I127" t="s">
        <v>30</v>
      </c>
      <c r="J127" t="s">
        <v>15</v>
      </c>
    </row>
    <row r="128" spans="1:10" x14ac:dyDescent="0.25">
      <c r="A128" s="3" t="s">
        <v>16</v>
      </c>
      <c r="B128" s="3" t="s">
        <v>17</v>
      </c>
      <c r="C128" s="4">
        <v>29254.5</v>
      </c>
      <c r="D128" s="4">
        <v>7584.5</v>
      </c>
      <c r="E128" s="5">
        <v>44464</v>
      </c>
      <c r="F128" s="3" t="s">
        <v>12</v>
      </c>
      <c r="G128" s="3" t="s">
        <v>13</v>
      </c>
      <c r="H128" s="3">
        <v>2021</v>
      </c>
      <c r="I128" t="s">
        <v>20</v>
      </c>
      <c r="J128" t="s">
        <v>15</v>
      </c>
    </row>
    <row r="129" spans="1:10" x14ac:dyDescent="0.25">
      <c r="A129" s="3" t="s">
        <v>130</v>
      </c>
      <c r="B129" s="3" t="s">
        <v>34</v>
      </c>
      <c r="C129" s="4">
        <v>619380</v>
      </c>
      <c r="D129" s="4">
        <v>445880</v>
      </c>
      <c r="E129" s="5">
        <v>44662</v>
      </c>
      <c r="F129" s="3" t="s">
        <v>47</v>
      </c>
      <c r="G129" s="3" t="s">
        <v>48</v>
      </c>
      <c r="H129" s="3">
        <v>2021</v>
      </c>
      <c r="I129" t="s">
        <v>32</v>
      </c>
      <c r="J129" t="s">
        <v>15</v>
      </c>
    </row>
    <row r="130" spans="1:10" x14ac:dyDescent="0.25">
      <c r="A130" s="3" t="s">
        <v>33</v>
      </c>
      <c r="B130" s="3" t="s">
        <v>34</v>
      </c>
      <c r="C130" s="4">
        <v>215550</v>
      </c>
      <c r="D130" s="4">
        <v>-14370</v>
      </c>
      <c r="E130" s="5">
        <v>44235</v>
      </c>
      <c r="F130" s="3" t="s">
        <v>40</v>
      </c>
      <c r="G130" s="3" t="s">
        <v>19</v>
      </c>
      <c r="H130" s="3">
        <v>2021</v>
      </c>
      <c r="I130" t="s">
        <v>35</v>
      </c>
      <c r="J130" t="s">
        <v>15</v>
      </c>
    </row>
    <row r="131" spans="1:10" x14ac:dyDescent="0.25">
      <c r="A131" s="3" t="s">
        <v>119</v>
      </c>
      <c r="B131" s="3" t="s">
        <v>39</v>
      </c>
      <c r="C131" s="4">
        <v>619380</v>
      </c>
      <c r="D131" s="4">
        <v>445880</v>
      </c>
      <c r="E131" s="5">
        <v>44730</v>
      </c>
      <c r="F131" s="3" t="s">
        <v>88</v>
      </c>
      <c r="G131" s="3" t="s">
        <v>48</v>
      </c>
      <c r="H131" s="3">
        <v>2021</v>
      </c>
      <c r="I131" t="s">
        <v>22</v>
      </c>
      <c r="J131" t="s">
        <v>27</v>
      </c>
    </row>
    <row r="132" spans="1:10" x14ac:dyDescent="0.25">
      <c r="A132" s="3" t="s">
        <v>131</v>
      </c>
      <c r="B132" s="3" t="s">
        <v>39</v>
      </c>
      <c r="C132" s="4">
        <v>29254.5</v>
      </c>
      <c r="D132" s="4">
        <v>7584.5</v>
      </c>
      <c r="E132" s="5">
        <v>44784</v>
      </c>
      <c r="F132" s="3" t="s">
        <v>25</v>
      </c>
      <c r="G132" s="3" t="s">
        <v>13</v>
      </c>
      <c r="H132" s="3">
        <v>2021</v>
      </c>
      <c r="I132" t="s">
        <v>35</v>
      </c>
      <c r="J132" t="s">
        <v>15</v>
      </c>
    </row>
    <row r="133" spans="1:10" x14ac:dyDescent="0.25">
      <c r="A133" s="3" t="s">
        <v>100</v>
      </c>
      <c r="B133" s="3" t="s">
        <v>39</v>
      </c>
      <c r="C133" s="4">
        <v>589050</v>
      </c>
      <c r="D133" s="4">
        <v>402850</v>
      </c>
      <c r="E133" s="5">
        <v>44765</v>
      </c>
      <c r="F133" s="3" t="s">
        <v>29</v>
      </c>
      <c r="G133" s="3" t="s">
        <v>13</v>
      </c>
      <c r="H133" s="3">
        <v>2021</v>
      </c>
      <c r="I133" t="s">
        <v>41</v>
      </c>
      <c r="J133" t="s">
        <v>23</v>
      </c>
    </row>
    <row r="134" spans="1:10" x14ac:dyDescent="0.25">
      <c r="A134" s="3" t="s">
        <v>132</v>
      </c>
      <c r="B134" s="3" t="s">
        <v>45</v>
      </c>
      <c r="C134" s="4">
        <v>12794.64</v>
      </c>
      <c r="D134" s="4">
        <v>9200.64</v>
      </c>
      <c r="E134" s="5">
        <v>44672</v>
      </c>
      <c r="F134" s="3" t="s">
        <v>47</v>
      </c>
      <c r="G134" s="3" t="s">
        <v>48</v>
      </c>
      <c r="H134" s="3">
        <v>2021</v>
      </c>
      <c r="I134" t="s">
        <v>41</v>
      </c>
      <c r="J134" t="s">
        <v>27</v>
      </c>
    </row>
    <row r="135" spans="1:10" x14ac:dyDescent="0.25">
      <c r="A135" s="3" t="s">
        <v>68</v>
      </c>
      <c r="B135" s="3" t="s">
        <v>17</v>
      </c>
      <c r="C135" s="4">
        <v>12794.64</v>
      </c>
      <c r="D135" s="4">
        <v>9200.64</v>
      </c>
      <c r="E135" s="5">
        <v>44677</v>
      </c>
      <c r="F135" s="3" t="s">
        <v>47</v>
      </c>
      <c r="G135" s="3" t="s">
        <v>48</v>
      </c>
      <c r="H135" s="3">
        <v>2021</v>
      </c>
      <c r="I135" t="s">
        <v>14</v>
      </c>
      <c r="J135" t="s">
        <v>15</v>
      </c>
    </row>
    <row r="136" spans="1:10" x14ac:dyDescent="0.25">
      <c r="A136" s="3" t="s">
        <v>133</v>
      </c>
      <c r="B136" s="3" t="s">
        <v>39</v>
      </c>
      <c r="C136" s="4">
        <v>10733.4</v>
      </c>
      <c r="D136" s="4">
        <v>7718.4</v>
      </c>
      <c r="E136" s="5">
        <v>44369</v>
      </c>
      <c r="F136" s="3" t="s">
        <v>88</v>
      </c>
      <c r="G136" s="3" t="s">
        <v>48</v>
      </c>
      <c r="H136" s="3">
        <v>2021</v>
      </c>
      <c r="I136" t="s">
        <v>14</v>
      </c>
      <c r="J136" t="s">
        <v>15</v>
      </c>
    </row>
    <row r="137" spans="1:10" x14ac:dyDescent="0.25">
      <c r="A137" s="3" t="s">
        <v>134</v>
      </c>
      <c r="B137" s="3" t="s">
        <v>45</v>
      </c>
      <c r="C137" s="4">
        <v>20826</v>
      </c>
      <c r="D137" s="4">
        <v>5226</v>
      </c>
      <c r="E137" s="5">
        <v>44219</v>
      </c>
      <c r="F137" s="3" t="s">
        <v>18</v>
      </c>
      <c r="G137" s="3" t="s">
        <v>19</v>
      </c>
      <c r="H137" s="3">
        <v>2021</v>
      </c>
      <c r="I137" t="s">
        <v>20</v>
      </c>
      <c r="J137" t="s">
        <v>15</v>
      </c>
    </row>
    <row r="138" spans="1:10" x14ac:dyDescent="0.25">
      <c r="A138" s="3" t="s">
        <v>110</v>
      </c>
      <c r="B138" s="3" t="s">
        <v>45</v>
      </c>
      <c r="C138" s="4">
        <v>16858.38</v>
      </c>
      <c r="D138" s="4">
        <v>3328.380000000001</v>
      </c>
      <c r="E138" s="5">
        <v>44645</v>
      </c>
      <c r="F138" s="3" t="s">
        <v>55</v>
      </c>
      <c r="G138" s="3" t="s">
        <v>19</v>
      </c>
      <c r="H138" s="3">
        <v>2021</v>
      </c>
      <c r="I138" t="s">
        <v>20</v>
      </c>
      <c r="J138" t="s">
        <v>27</v>
      </c>
    </row>
    <row r="139" spans="1:10" x14ac:dyDescent="0.25">
      <c r="A139" s="3" t="s">
        <v>80</v>
      </c>
      <c r="B139" s="3" t="s">
        <v>11</v>
      </c>
      <c r="C139" s="4">
        <v>53257.599999999999</v>
      </c>
      <c r="D139" s="4">
        <v>23337.599999999999</v>
      </c>
      <c r="E139" s="5">
        <v>44925</v>
      </c>
      <c r="F139" s="3" t="s">
        <v>36</v>
      </c>
      <c r="G139" s="3" t="s">
        <v>50</v>
      </c>
      <c r="H139" s="3">
        <v>2021</v>
      </c>
      <c r="I139" t="s">
        <v>30</v>
      </c>
      <c r="J139" t="s">
        <v>37</v>
      </c>
    </row>
    <row r="140" spans="1:10" x14ac:dyDescent="0.25">
      <c r="A140" s="3" t="s">
        <v>116</v>
      </c>
      <c r="B140" s="3" t="s">
        <v>17</v>
      </c>
      <c r="C140" s="4">
        <v>53257.599999999999</v>
      </c>
      <c r="D140" s="4">
        <v>23337.599999999999</v>
      </c>
      <c r="E140" s="5">
        <v>44666</v>
      </c>
      <c r="F140" s="3" t="s">
        <v>47</v>
      </c>
      <c r="G140" s="3" t="s">
        <v>48</v>
      </c>
      <c r="H140" s="3">
        <v>2021</v>
      </c>
      <c r="I140" t="s">
        <v>41</v>
      </c>
      <c r="J140" t="s">
        <v>27</v>
      </c>
    </row>
    <row r="141" spans="1:10" x14ac:dyDescent="0.25">
      <c r="A141" s="3" t="s">
        <v>98</v>
      </c>
      <c r="B141" s="3" t="s">
        <v>34</v>
      </c>
      <c r="C141" s="4">
        <v>49929</v>
      </c>
      <c r="D141" s="4">
        <v>21879</v>
      </c>
      <c r="E141" s="5">
        <v>44478</v>
      </c>
      <c r="F141" s="3" t="s">
        <v>57</v>
      </c>
      <c r="G141" s="3" t="s">
        <v>50</v>
      </c>
      <c r="H141" s="3">
        <v>2021</v>
      </c>
      <c r="I141" t="s">
        <v>32</v>
      </c>
      <c r="J141" t="s">
        <v>27</v>
      </c>
    </row>
    <row r="142" spans="1:10" x14ac:dyDescent="0.25">
      <c r="A142" s="3" t="s">
        <v>135</v>
      </c>
      <c r="B142" s="3" t="s">
        <v>34</v>
      </c>
      <c r="C142" s="4">
        <v>8744.25</v>
      </c>
      <c r="D142" s="4">
        <v>2194.25</v>
      </c>
      <c r="E142" s="5">
        <v>44500</v>
      </c>
      <c r="F142" s="3" t="s">
        <v>57</v>
      </c>
      <c r="G142" s="3" t="s">
        <v>50</v>
      </c>
      <c r="H142" s="3">
        <v>2021</v>
      </c>
      <c r="I142" t="s">
        <v>22</v>
      </c>
      <c r="J142" t="s">
        <v>23</v>
      </c>
    </row>
    <row r="143" spans="1:10" x14ac:dyDescent="0.25">
      <c r="A143" s="3" t="s">
        <v>74</v>
      </c>
      <c r="B143" s="3" t="s">
        <v>34</v>
      </c>
      <c r="C143" s="4">
        <v>107156</v>
      </c>
      <c r="D143" s="4">
        <v>17716</v>
      </c>
      <c r="E143" s="5">
        <v>44654</v>
      </c>
      <c r="F143" s="3" t="s">
        <v>47</v>
      </c>
      <c r="G143" s="3" t="s">
        <v>48</v>
      </c>
      <c r="H143" s="3">
        <v>2021</v>
      </c>
      <c r="I143" t="s">
        <v>35</v>
      </c>
      <c r="J143" t="s">
        <v>15</v>
      </c>
    </row>
    <row r="144" spans="1:10" x14ac:dyDescent="0.25">
      <c r="A144" s="3" t="s">
        <v>99</v>
      </c>
      <c r="B144" s="3" t="s">
        <v>39</v>
      </c>
      <c r="C144" s="4">
        <v>52243</v>
      </c>
      <c r="D144" s="4">
        <v>22893</v>
      </c>
      <c r="E144" s="5">
        <v>44629</v>
      </c>
      <c r="F144" s="3" t="s">
        <v>55</v>
      </c>
      <c r="G144" s="3" t="s">
        <v>19</v>
      </c>
      <c r="H144" s="3">
        <v>2021</v>
      </c>
      <c r="I144" t="s">
        <v>35</v>
      </c>
      <c r="J144" t="s">
        <v>15</v>
      </c>
    </row>
    <row r="145" spans="1:10" x14ac:dyDescent="0.25">
      <c r="A145" s="3" t="s">
        <v>136</v>
      </c>
      <c r="B145" s="3" t="s">
        <v>61</v>
      </c>
      <c r="C145" s="4">
        <v>105353.75</v>
      </c>
      <c r="D145" s="4">
        <v>91713.75</v>
      </c>
      <c r="E145" s="5">
        <v>44493</v>
      </c>
      <c r="F145" s="3" t="s">
        <v>57</v>
      </c>
      <c r="G145" s="3" t="s">
        <v>50</v>
      </c>
      <c r="H145" s="3">
        <v>2021</v>
      </c>
      <c r="I145" t="s">
        <v>26</v>
      </c>
      <c r="J145" t="s">
        <v>15</v>
      </c>
    </row>
    <row r="146" spans="1:10" x14ac:dyDescent="0.25">
      <c r="A146" s="3" t="s">
        <v>137</v>
      </c>
      <c r="B146" s="3" t="s">
        <v>61</v>
      </c>
      <c r="C146" s="4">
        <v>107156</v>
      </c>
      <c r="D146" s="4">
        <v>67716</v>
      </c>
      <c r="E146" s="5">
        <v>44837</v>
      </c>
      <c r="F146" s="3" t="s">
        <v>57</v>
      </c>
      <c r="G146" s="3" t="s">
        <v>50</v>
      </c>
      <c r="H146" s="3">
        <v>2021</v>
      </c>
      <c r="I146" t="s">
        <v>30</v>
      </c>
      <c r="J146" t="s">
        <v>27</v>
      </c>
    </row>
    <row r="147" spans="1:10" x14ac:dyDescent="0.25">
      <c r="A147" s="3" t="s">
        <v>70</v>
      </c>
      <c r="B147" s="3" t="s">
        <v>17</v>
      </c>
      <c r="C147" s="4">
        <v>2367.4</v>
      </c>
      <c r="D147" s="4">
        <v>467.40000000000009</v>
      </c>
      <c r="E147" s="5">
        <v>44681</v>
      </c>
      <c r="F147" s="3" t="s">
        <v>47</v>
      </c>
      <c r="G147" s="3" t="s">
        <v>48</v>
      </c>
      <c r="H147" s="3">
        <v>2021</v>
      </c>
      <c r="I147" t="s">
        <v>22</v>
      </c>
      <c r="J147" t="s">
        <v>59</v>
      </c>
    </row>
    <row r="148" spans="1:10" x14ac:dyDescent="0.25">
      <c r="A148" s="3" t="s">
        <v>138</v>
      </c>
      <c r="B148" s="3" t="s">
        <v>45</v>
      </c>
      <c r="C148" s="4">
        <v>265760</v>
      </c>
      <c r="D148" s="4">
        <v>225840</v>
      </c>
      <c r="E148" s="5">
        <v>44511</v>
      </c>
      <c r="F148" s="3" t="s">
        <v>43</v>
      </c>
      <c r="G148" s="3" t="s">
        <v>50</v>
      </c>
      <c r="H148" s="3">
        <v>2021</v>
      </c>
      <c r="I148" t="s">
        <v>32</v>
      </c>
      <c r="J148" t="s">
        <v>27</v>
      </c>
    </row>
    <row r="149" spans="1:10" x14ac:dyDescent="0.25">
      <c r="A149" s="3" t="s">
        <v>93</v>
      </c>
      <c r="B149" s="3" t="s">
        <v>11</v>
      </c>
      <c r="C149" s="4">
        <v>30184</v>
      </c>
      <c r="D149" s="4">
        <v>13034</v>
      </c>
      <c r="E149" s="5">
        <v>44907</v>
      </c>
      <c r="F149" s="3" t="s">
        <v>36</v>
      </c>
      <c r="G149" s="3" t="s">
        <v>50</v>
      </c>
      <c r="H149" s="3">
        <v>2021</v>
      </c>
      <c r="I149" t="s">
        <v>14</v>
      </c>
      <c r="J149" t="s">
        <v>23</v>
      </c>
    </row>
    <row r="150" spans="1:10" x14ac:dyDescent="0.25">
      <c r="A150" s="3" t="s">
        <v>122</v>
      </c>
      <c r="B150" s="3" t="s">
        <v>11</v>
      </c>
      <c r="C150" s="4">
        <v>313104</v>
      </c>
      <c r="D150" s="4">
        <v>116604</v>
      </c>
      <c r="E150" s="5">
        <v>44759</v>
      </c>
      <c r="F150" s="3" t="s">
        <v>29</v>
      </c>
      <c r="G150" s="3" t="s">
        <v>13</v>
      </c>
      <c r="H150" s="3">
        <v>2021</v>
      </c>
      <c r="I150" t="s">
        <v>32</v>
      </c>
      <c r="J150" t="s">
        <v>15</v>
      </c>
    </row>
    <row r="151" spans="1:10" x14ac:dyDescent="0.25">
      <c r="A151" s="3" t="s">
        <v>83</v>
      </c>
      <c r="B151" s="3" t="s">
        <v>17</v>
      </c>
      <c r="C151" s="4">
        <v>30184</v>
      </c>
      <c r="D151" s="4">
        <v>13034</v>
      </c>
      <c r="E151" s="5">
        <v>44853</v>
      </c>
      <c r="F151" s="3" t="s">
        <v>57</v>
      </c>
      <c r="G151" s="3" t="s">
        <v>50</v>
      </c>
      <c r="H151" s="3">
        <v>2021</v>
      </c>
      <c r="I151" t="s">
        <v>41</v>
      </c>
      <c r="J151" t="s">
        <v>37</v>
      </c>
    </row>
    <row r="152" spans="1:10" x14ac:dyDescent="0.25">
      <c r="A152" s="3" t="s">
        <v>87</v>
      </c>
      <c r="B152" s="3" t="s">
        <v>17</v>
      </c>
      <c r="C152" s="4">
        <v>5016</v>
      </c>
      <c r="D152" s="4">
        <v>1216</v>
      </c>
      <c r="E152" s="5">
        <v>44698</v>
      </c>
      <c r="F152" s="3" t="s">
        <v>42</v>
      </c>
      <c r="G152" s="3" t="s">
        <v>48</v>
      </c>
      <c r="H152" s="3">
        <v>2021</v>
      </c>
      <c r="I152" t="s">
        <v>26</v>
      </c>
      <c r="J152" t="s">
        <v>59</v>
      </c>
    </row>
    <row r="153" spans="1:10" x14ac:dyDescent="0.25">
      <c r="A153" s="3" t="s">
        <v>99</v>
      </c>
      <c r="B153" s="3" t="s">
        <v>39</v>
      </c>
      <c r="C153" s="4">
        <v>191884</v>
      </c>
      <c r="D153" s="4">
        <v>129904</v>
      </c>
      <c r="E153" s="5">
        <v>44255</v>
      </c>
      <c r="F153" s="3" t="s">
        <v>40</v>
      </c>
      <c r="G153" s="3" t="s">
        <v>19</v>
      </c>
      <c r="H153" s="3">
        <v>2021</v>
      </c>
      <c r="I153" t="s">
        <v>35</v>
      </c>
      <c r="J153" t="s">
        <v>23</v>
      </c>
    </row>
    <row r="154" spans="1:10" x14ac:dyDescent="0.25">
      <c r="A154" s="3" t="s">
        <v>90</v>
      </c>
      <c r="B154" s="3" t="s">
        <v>61</v>
      </c>
      <c r="C154" s="4">
        <v>33633.599999999999</v>
      </c>
      <c r="D154" s="4">
        <v>8153.5999999999985</v>
      </c>
      <c r="E154" s="5">
        <v>44546</v>
      </c>
      <c r="F154" s="3" t="s">
        <v>36</v>
      </c>
      <c r="G154" s="3" t="s">
        <v>50</v>
      </c>
      <c r="H154" s="3">
        <v>2021</v>
      </c>
      <c r="I154" t="s">
        <v>32</v>
      </c>
      <c r="J154" t="s">
        <v>15</v>
      </c>
    </row>
    <row r="155" spans="1:10" x14ac:dyDescent="0.25">
      <c r="A155" s="3" t="s">
        <v>139</v>
      </c>
      <c r="B155" s="3" t="s">
        <v>61</v>
      </c>
      <c r="C155" s="4">
        <v>29156.16</v>
      </c>
      <c r="D155" s="4">
        <v>20873.16</v>
      </c>
      <c r="E155" s="5">
        <v>44203</v>
      </c>
      <c r="F155" s="3" t="s">
        <v>18</v>
      </c>
      <c r="G155" s="3" t="s">
        <v>19</v>
      </c>
      <c r="H155" s="3">
        <v>2021</v>
      </c>
      <c r="I155" t="s">
        <v>35</v>
      </c>
      <c r="J155" t="s">
        <v>59</v>
      </c>
    </row>
    <row r="156" spans="1:10" x14ac:dyDescent="0.25">
      <c r="A156" s="3" t="s">
        <v>92</v>
      </c>
      <c r="B156" s="3" t="s">
        <v>45</v>
      </c>
      <c r="C156" s="4">
        <v>7690.8</v>
      </c>
      <c r="D156" s="4">
        <v>3270.8</v>
      </c>
      <c r="E156" s="5">
        <v>44277</v>
      </c>
      <c r="F156" s="3" t="s">
        <v>55</v>
      </c>
      <c r="G156" s="3" t="s">
        <v>19</v>
      </c>
      <c r="H156" s="3">
        <v>2021</v>
      </c>
      <c r="I156" t="s">
        <v>41</v>
      </c>
      <c r="J156" t="s">
        <v>15</v>
      </c>
    </row>
    <row r="157" spans="1:10" x14ac:dyDescent="0.25">
      <c r="A157" s="3" t="s">
        <v>140</v>
      </c>
      <c r="B157" s="3" t="s">
        <v>34</v>
      </c>
      <c r="C157" s="4">
        <v>8613</v>
      </c>
      <c r="D157" s="4">
        <v>2013</v>
      </c>
      <c r="E157" s="5">
        <v>44746</v>
      </c>
      <c r="F157" s="3" t="s">
        <v>29</v>
      </c>
      <c r="G157" s="3" t="s">
        <v>13</v>
      </c>
      <c r="H157" s="3">
        <v>2021</v>
      </c>
      <c r="I157" t="s">
        <v>41</v>
      </c>
      <c r="J157" t="s">
        <v>27</v>
      </c>
    </row>
    <row r="158" spans="1:10" x14ac:dyDescent="0.25">
      <c r="A158" s="3" t="s">
        <v>141</v>
      </c>
      <c r="B158" s="3" t="s">
        <v>34</v>
      </c>
      <c r="C158" s="4">
        <v>679905</v>
      </c>
      <c r="D158" s="4">
        <v>528655</v>
      </c>
      <c r="E158" s="5">
        <v>44794</v>
      </c>
      <c r="F158" s="3" t="s">
        <v>25</v>
      </c>
      <c r="G158" s="3" t="s">
        <v>13</v>
      </c>
      <c r="H158" s="3">
        <v>2021</v>
      </c>
      <c r="I158" t="s">
        <v>14</v>
      </c>
      <c r="J158" t="s">
        <v>59</v>
      </c>
    </row>
    <row r="159" spans="1:10" x14ac:dyDescent="0.25">
      <c r="A159" s="3" t="s">
        <v>142</v>
      </c>
      <c r="B159" s="3" t="s">
        <v>61</v>
      </c>
      <c r="C159" s="4">
        <v>18478.8</v>
      </c>
      <c r="D159" s="4">
        <v>13168.8</v>
      </c>
      <c r="E159" s="5">
        <v>44217</v>
      </c>
      <c r="F159" s="3" t="s">
        <v>18</v>
      </c>
      <c r="G159" s="3" t="s">
        <v>19</v>
      </c>
      <c r="H159" s="3">
        <v>2021</v>
      </c>
      <c r="I159" t="s">
        <v>20</v>
      </c>
      <c r="J159" t="s">
        <v>23</v>
      </c>
    </row>
    <row r="160" spans="1:10" x14ac:dyDescent="0.25">
      <c r="A160" s="3" t="s">
        <v>101</v>
      </c>
      <c r="B160" s="3" t="s">
        <v>45</v>
      </c>
      <c r="C160" s="4">
        <v>148035.92000000001</v>
      </c>
      <c r="D160" s="4">
        <v>103055.92</v>
      </c>
      <c r="E160" s="5">
        <v>44351</v>
      </c>
      <c r="F160" s="3" t="s">
        <v>88</v>
      </c>
      <c r="G160" s="3" t="s">
        <v>48</v>
      </c>
      <c r="H160" s="3">
        <v>2021</v>
      </c>
      <c r="I160" t="s">
        <v>14</v>
      </c>
      <c r="J160" t="s">
        <v>15</v>
      </c>
    </row>
    <row r="161" spans="1:10" x14ac:dyDescent="0.25">
      <c r="A161" s="3" t="s">
        <v>143</v>
      </c>
      <c r="B161" s="3" t="s">
        <v>11</v>
      </c>
      <c r="C161" s="4">
        <v>18035.919999999998</v>
      </c>
      <c r="D161" s="4">
        <v>3055.9199999999983</v>
      </c>
      <c r="E161" s="5">
        <v>44626</v>
      </c>
      <c r="F161" s="3" t="s">
        <v>55</v>
      </c>
      <c r="G161" s="3" t="s">
        <v>19</v>
      </c>
      <c r="H161" s="3">
        <v>2021</v>
      </c>
      <c r="I161" t="s">
        <v>22</v>
      </c>
      <c r="J161" t="s">
        <v>27</v>
      </c>
    </row>
    <row r="162" spans="1:10" x14ac:dyDescent="0.25">
      <c r="A162" s="3" t="s">
        <v>60</v>
      </c>
      <c r="B162" s="3" t="s">
        <v>61</v>
      </c>
      <c r="C162" s="4">
        <v>20794.8</v>
      </c>
      <c r="D162" s="4">
        <v>14749.8</v>
      </c>
      <c r="E162" s="5">
        <v>44780</v>
      </c>
      <c r="F162" s="3" t="s">
        <v>25</v>
      </c>
      <c r="G162" s="3" t="s">
        <v>13</v>
      </c>
      <c r="H162" s="3">
        <v>2021</v>
      </c>
      <c r="I162" t="s">
        <v>20</v>
      </c>
      <c r="J162" t="s">
        <v>27</v>
      </c>
    </row>
    <row r="163" spans="1:10" x14ac:dyDescent="0.25">
      <c r="A163" s="3" t="s">
        <v>129</v>
      </c>
      <c r="B163" s="3" t="s">
        <v>45</v>
      </c>
      <c r="C163" s="4">
        <v>109972.5</v>
      </c>
      <c r="D163" s="4">
        <v>87212.5</v>
      </c>
      <c r="E163" s="5">
        <v>44283</v>
      </c>
      <c r="F163" s="3" t="s">
        <v>55</v>
      </c>
      <c r="G163" s="3" t="s">
        <v>19</v>
      </c>
      <c r="H163" s="3">
        <v>2021</v>
      </c>
      <c r="I163" t="s">
        <v>30</v>
      </c>
      <c r="J163" t="s">
        <v>23</v>
      </c>
    </row>
    <row r="164" spans="1:10" x14ac:dyDescent="0.25">
      <c r="A164" s="3" t="s">
        <v>144</v>
      </c>
      <c r="B164" s="3" t="s">
        <v>45</v>
      </c>
      <c r="C164" s="4">
        <v>303257.5</v>
      </c>
      <c r="D164" s="4">
        <v>274737.5</v>
      </c>
      <c r="E164" s="5">
        <v>44750</v>
      </c>
      <c r="F164" s="3" t="s">
        <v>29</v>
      </c>
      <c r="G164" s="3" t="s">
        <v>13</v>
      </c>
      <c r="H164" s="3">
        <v>2021</v>
      </c>
      <c r="I164" t="s">
        <v>26</v>
      </c>
      <c r="J164" t="s">
        <v>23</v>
      </c>
    </row>
    <row r="165" spans="1:10" x14ac:dyDescent="0.25">
      <c r="A165" s="3" t="s">
        <v>93</v>
      </c>
      <c r="B165" s="3" t="s">
        <v>11</v>
      </c>
      <c r="C165" s="4">
        <v>10396.540000000001</v>
      </c>
      <c r="D165" s="4">
        <v>1761.5400000000009</v>
      </c>
      <c r="E165" s="5">
        <v>44516</v>
      </c>
      <c r="F165" s="3" t="s">
        <v>43</v>
      </c>
      <c r="G165" s="3" t="s">
        <v>50</v>
      </c>
      <c r="H165" s="3">
        <v>2021</v>
      </c>
      <c r="I165" t="s">
        <v>14</v>
      </c>
      <c r="J165" t="s">
        <v>59</v>
      </c>
    </row>
    <row r="166" spans="1:10" x14ac:dyDescent="0.25">
      <c r="A166" s="3" t="s">
        <v>31</v>
      </c>
      <c r="B166" s="3" t="s">
        <v>17</v>
      </c>
      <c r="C166" s="4">
        <v>31863</v>
      </c>
      <c r="D166" s="4">
        <v>7163</v>
      </c>
      <c r="E166" s="5">
        <v>44287</v>
      </c>
      <c r="F166" s="3" t="s">
        <v>47</v>
      </c>
      <c r="G166" s="3" t="s">
        <v>48</v>
      </c>
      <c r="H166" s="3">
        <v>2021</v>
      </c>
      <c r="I166" t="s">
        <v>32</v>
      </c>
      <c r="J166" t="s">
        <v>27</v>
      </c>
    </row>
    <row r="167" spans="1:10" x14ac:dyDescent="0.25">
      <c r="A167" s="3" t="s">
        <v>31</v>
      </c>
      <c r="B167" s="3" t="s">
        <v>17</v>
      </c>
      <c r="C167" s="4">
        <v>22484.7</v>
      </c>
      <c r="D167" s="4">
        <v>5054.7000000000007</v>
      </c>
      <c r="E167" s="5">
        <v>44673</v>
      </c>
      <c r="F167" s="3" t="s">
        <v>47</v>
      </c>
      <c r="G167" s="3" t="s">
        <v>48</v>
      </c>
      <c r="H167" s="3">
        <v>2021</v>
      </c>
      <c r="I167" t="s">
        <v>32</v>
      </c>
      <c r="J167" t="s">
        <v>15</v>
      </c>
    </row>
    <row r="168" spans="1:10" x14ac:dyDescent="0.25">
      <c r="A168" s="3" t="s">
        <v>104</v>
      </c>
      <c r="B168" s="3" t="s">
        <v>17</v>
      </c>
      <c r="C168" s="4">
        <v>22931.040000000001</v>
      </c>
      <c r="D168" s="4">
        <v>16265.04</v>
      </c>
      <c r="E168" s="5">
        <v>44317</v>
      </c>
      <c r="F168" s="3" t="s">
        <v>42</v>
      </c>
      <c r="G168" s="3" t="s">
        <v>48</v>
      </c>
      <c r="H168" s="3">
        <v>2021</v>
      </c>
      <c r="I168" t="s">
        <v>26</v>
      </c>
      <c r="J168" t="s">
        <v>37</v>
      </c>
    </row>
    <row r="169" spans="1:10" x14ac:dyDescent="0.25">
      <c r="A169" s="3" t="s">
        <v>96</v>
      </c>
      <c r="B169" s="3" t="s">
        <v>17</v>
      </c>
      <c r="C169" s="4">
        <v>578522</v>
      </c>
      <c r="D169" s="4">
        <v>336322</v>
      </c>
      <c r="E169" s="5">
        <v>44731</v>
      </c>
      <c r="F169" s="3" t="s">
        <v>88</v>
      </c>
      <c r="G169" s="3" t="s">
        <v>48</v>
      </c>
      <c r="H169" s="3">
        <v>2021</v>
      </c>
      <c r="I169" t="s">
        <v>26</v>
      </c>
      <c r="J169" t="s">
        <v>37</v>
      </c>
    </row>
    <row r="170" spans="1:10" x14ac:dyDescent="0.25">
      <c r="A170" s="3" t="s">
        <v>145</v>
      </c>
      <c r="B170" s="3" t="s">
        <v>34</v>
      </c>
      <c r="C170" s="4">
        <v>69402</v>
      </c>
      <c r="D170" s="4">
        <v>2152</v>
      </c>
      <c r="E170" s="5">
        <v>44569</v>
      </c>
      <c r="F170" s="3" t="s">
        <v>18</v>
      </c>
      <c r="G170" s="3" t="s">
        <v>19</v>
      </c>
      <c r="H170" s="3">
        <v>2021</v>
      </c>
      <c r="I170" t="s">
        <v>30</v>
      </c>
      <c r="J170" t="s">
        <v>23</v>
      </c>
    </row>
    <row r="171" spans="1:10" x14ac:dyDescent="0.25">
      <c r="A171" s="3" t="s">
        <v>146</v>
      </c>
      <c r="B171" s="3" t="s">
        <v>34</v>
      </c>
      <c r="C171" s="4">
        <v>654288</v>
      </c>
      <c r="D171" s="4">
        <v>520288</v>
      </c>
      <c r="E171" s="5">
        <v>44807</v>
      </c>
      <c r="F171" s="3" t="s">
        <v>12</v>
      </c>
      <c r="G171" s="3" t="s">
        <v>13</v>
      </c>
      <c r="H171" s="3">
        <v>2021</v>
      </c>
      <c r="I171" t="s">
        <v>32</v>
      </c>
      <c r="J171" t="s">
        <v>15</v>
      </c>
    </row>
    <row r="172" spans="1:10" x14ac:dyDescent="0.25">
      <c r="A172" s="3" t="s">
        <v>107</v>
      </c>
      <c r="B172" s="3" t="s">
        <v>39</v>
      </c>
      <c r="C172" s="4">
        <v>109402</v>
      </c>
      <c r="D172" s="4">
        <v>2152</v>
      </c>
      <c r="E172" s="5">
        <v>44853</v>
      </c>
      <c r="F172" s="3" t="s">
        <v>57</v>
      </c>
      <c r="G172" s="3" t="s">
        <v>50</v>
      </c>
      <c r="H172" s="3">
        <v>2021</v>
      </c>
      <c r="I172" t="s">
        <v>35</v>
      </c>
      <c r="J172" t="s">
        <v>27</v>
      </c>
    </row>
    <row r="173" spans="1:10" x14ac:dyDescent="0.25">
      <c r="A173" s="3" t="s">
        <v>38</v>
      </c>
      <c r="B173" s="3" t="s">
        <v>39</v>
      </c>
      <c r="C173" s="4">
        <v>385581</v>
      </c>
      <c r="D173" s="4">
        <v>252521</v>
      </c>
      <c r="E173" s="5">
        <v>44580</v>
      </c>
      <c r="F173" s="3" t="s">
        <v>18</v>
      </c>
      <c r="G173" s="3" t="s">
        <v>19</v>
      </c>
      <c r="H173" s="3">
        <v>2021</v>
      </c>
      <c r="I173" t="s">
        <v>41</v>
      </c>
      <c r="J173" t="s">
        <v>37</v>
      </c>
    </row>
    <row r="174" spans="1:10" x14ac:dyDescent="0.25">
      <c r="A174" s="3" t="s">
        <v>147</v>
      </c>
      <c r="B174" s="3" t="s">
        <v>61</v>
      </c>
      <c r="C174" s="4">
        <v>22484.7</v>
      </c>
      <c r="D174" s="4">
        <v>5054.7000000000007</v>
      </c>
      <c r="E174" s="5">
        <v>44476</v>
      </c>
      <c r="F174" s="3" t="s">
        <v>57</v>
      </c>
      <c r="G174" s="3" t="s">
        <v>50</v>
      </c>
      <c r="H174" s="3">
        <v>2021</v>
      </c>
      <c r="I174" t="s">
        <v>35</v>
      </c>
      <c r="J174" t="s">
        <v>27</v>
      </c>
    </row>
    <row r="175" spans="1:10" x14ac:dyDescent="0.25">
      <c r="A175" s="3" t="s">
        <v>137</v>
      </c>
      <c r="B175" s="3" t="s">
        <v>61</v>
      </c>
      <c r="C175" s="4">
        <v>10396.540000000001</v>
      </c>
      <c r="D175" s="4">
        <v>1761.5400000000009</v>
      </c>
      <c r="E175" s="5">
        <v>44895</v>
      </c>
      <c r="F175" s="3" t="s">
        <v>43</v>
      </c>
      <c r="G175" s="3" t="s">
        <v>50</v>
      </c>
      <c r="H175" s="3">
        <v>2021</v>
      </c>
      <c r="I175" t="s">
        <v>30</v>
      </c>
      <c r="J175" t="s">
        <v>37</v>
      </c>
    </row>
    <row r="176" spans="1:10" x14ac:dyDescent="0.25">
      <c r="A176" s="3" t="s">
        <v>148</v>
      </c>
      <c r="B176" s="3" t="s">
        <v>61</v>
      </c>
      <c r="C176" s="4">
        <v>24123</v>
      </c>
      <c r="D176" s="4">
        <v>15423</v>
      </c>
      <c r="E176" s="5">
        <v>44521</v>
      </c>
      <c r="F176" s="3" t="s">
        <v>43</v>
      </c>
      <c r="G176" s="3" t="s">
        <v>50</v>
      </c>
      <c r="H176" s="3">
        <v>2021</v>
      </c>
      <c r="I176" t="s">
        <v>41</v>
      </c>
      <c r="J176" t="s">
        <v>37</v>
      </c>
    </row>
    <row r="177" spans="1:10" x14ac:dyDescent="0.25">
      <c r="A177" s="3" t="s">
        <v>70</v>
      </c>
      <c r="B177" s="3" t="s">
        <v>17</v>
      </c>
      <c r="C177" s="4">
        <v>4539</v>
      </c>
      <c r="D177" s="4">
        <v>1869</v>
      </c>
      <c r="E177" s="5">
        <v>44276</v>
      </c>
      <c r="F177" s="3" t="s">
        <v>55</v>
      </c>
      <c r="G177" s="3" t="s">
        <v>19</v>
      </c>
      <c r="H177" s="3">
        <v>2021</v>
      </c>
      <c r="I177" t="s">
        <v>22</v>
      </c>
      <c r="J177" t="s">
        <v>23</v>
      </c>
    </row>
    <row r="178" spans="1:10" x14ac:dyDescent="0.25">
      <c r="A178" s="3" t="s">
        <v>70</v>
      </c>
      <c r="B178" s="3" t="s">
        <v>17</v>
      </c>
      <c r="C178" s="4">
        <v>597082.5</v>
      </c>
      <c r="D178" s="4">
        <v>75262.5</v>
      </c>
      <c r="E178" s="5">
        <v>44806</v>
      </c>
      <c r="F178" s="3" t="s">
        <v>12</v>
      </c>
      <c r="G178" s="3" t="s">
        <v>13</v>
      </c>
      <c r="H178" s="3">
        <v>2021</v>
      </c>
      <c r="I178" t="s">
        <v>22</v>
      </c>
      <c r="J178" t="s">
        <v>15</v>
      </c>
    </row>
    <row r="179" spans="1:10" x14ac:dyDescent="0.25">
      <c r="A179" s="3" t="s">
        <v>83</v>
      </c>
      <c r="B179" s="3" t="s">
        <v>17</v>
      </c>
      <c r="C179" s="4">
        <v>639922.5</v>
      </c>
      <c r="D179" s="4">
        <v>80662.5</v>
      </c>
      <c r="E179" s="5">
        <v>44228</v>
      </c>
      <c r="F179" s="3" t="s">
        <v>40</v>
      </c>
      <c r="G179" s="3" t="s">
        <v>19</v>
      </c>
      <c r="H179" s="3">
        <v>2021</v>
      </c>
      <c r="I179" t="s">
        <v>41</v>
      </c>
      <c r="J179" t="s">
        <v>23</v>
      </c>
    </row>
    <row r="180" spans="1:10" x14ac:dyDescent="0.25">
      <c r="A180" s="3" t="s">
        <v>130</v>
      </c>
      <c r="B180" s="3" t="s">
        <v>34</v>
      </c>
      <c r="C180" s="4">
        <v>656370</v>
      </c>
      <c r="D180" s="4">
        <v>304500</v>
      </c>
      <c r="E180" s="5">
        <v>44725</v>
      </c>
      <c r="F180" s="3" t="s">
        <v>88</v>
      </c>
      <c r="G180" s="3" t="s">
        <v>48</v>
      </c>
      <c r="H180" s="3">
        <v>2021</v>
      </c>
      <c r="I180" t="s">
        <v>32</v>
      </c>
      <c r="J180" t="s">
        <v>15</v>
      </c>
    </row>
    <row r="181" spans="1:10" x14ac:dyDescent="0.25">
      <c r="A181" s="3" t="s">
        <v>54</v>
      </c>
      <c r="B181" s="3" t="s">
        <v>34</v>
      </c>
      <c r="C181" s="4">
        <v>259037.5</v>
      </c>
      <c r="D181" s="4">
        <v>-33522.5</v>
      </c>
      <c r="E181" s="5">
        <v>44257</v>
      </c>
      <c r="F181" s="3" t="s">
        <v>55</v>
      </c>
      <c r="G181" s="3" t="s">
        <v>19</v>
      </c>
      <c r="H181" s="3">
        <v>2021</v>
      </c>
      <c r="I181" t="s">
        <v>35</v>
      </c>
      <c r="J181" t="s">
        <v>37</v>
      </c>
    </row>
    <row r="182" spans="1:10" x14ac:dyDescent="0.25">
      <c r="A182" s="3" t="s">
        <v>76</v>
      </c>
      <c r="B182" s="3" t="s">
        <v>39</v>
      </c>
      <c r="C182" s="4">
        <v>4539</v>
      </c>
      <c r="D182" s="4">
        <v>1869</v>
      </c>
      <c r="E182" s="5">
        <v>44496</v>
      </c>
      <c r="F182" s="3" t="s">
        <v>57</v>
      </c>
      <c r="G182" s="3" t="s">
        <v>50</v>
      </c>
      <c r="H182" s="3">
        <v>2021</v>
      </c>
      <c r="I182" t="s">
        <v>14</v>
      </c>
      <c r="J182" t="s">
        <v>15</v>
      </c>
    </row>
    <row r="183" spans="1:10" x14ac:dyDescent="0.25">
      <c r="A183" s="3" t="s">
        <v>149</v>
      </c>
      <c r="B183" s="3" t="s">
        <v>39</v>
      </c>
      <c r="C183" s="4">
        <v>313862.5</v>
      </c>
      <c r="D183" s="4">
        <v>259382.5</v>
      </c>
      <c r="E183" s="5">
        <v>44249</v>
      </c>
      <c r="F183" s="3" t="s">
        <v>40</v>
      </c>
      <c r="G183" s="3" t="s">
        <v>19</v>
      </c>
      <c r="H183" s="3">
        <v>2021</v>
      </c>
      <c r="I183" t="s">
        <v>14</v>
      </c>
      <c r="J183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6D264-8F78-42AF-8E27-4FE70DC67DC2}">
  <dimension ref="A3:O40"/>
  <sheetViews>
    <sheetView topLeftCell="B12" workbookViewId="0">
      <selection activeCell="H47" sqref="H47"/>
    </sheetView>
  </sheetViews>
  <sheetFormatPr defaultRowHeight="15" x14ac:dyDescent="0.25"/>
  <cols>
    <col min="1" max="1" width="35.140625" bestFit="1" customWidth="1"/>
    <col min="2" max="2" width="16.28515625" bestFit="1" customWidth="1"/>
    <col min="3" max="3" width="7.7109375" bestFit="1" customWidth="1"/>
    <col min="4" max="4" width="8.7109375" bestFit="1" customWidth="1"/>
    <col min="5" max="5" width="16" bestFit="1" customWidth="1"/>
    <col min="6" max="6" width="13.42578125" bestFit="1" customWidth="1"/>
    <col min="7" max="7" width="11.85546875" bestFit="1" customWidth="1"/>
    <col min="8" max="9" width="12.5703125" bestFit="1" customWidth="1"/>
    <col min="10" max="15" width="11.85546875" bestFit="1" customWidth="1"/>
  </cols>
  <sheetData>
    <row r="3" spans="1:15" x14ac:dyDescent="0.25">
      <c r="A3" s="7" t="s">
        <v>151</v>
      </c>
      <c r="B3" s="7" t="s">
        <v>150</v>
      </c>
    </row>
    <row r="4" spans="1:15" x14ac:dyDescent="0.25">
      <c r="A4" s="7" t="s">
        <v>152</v>
      </c>
      <c r="B4" t="s">
        <v>11</v>
      </c>
      <c r="C4" t="s">
        <v>17</v>
      </c>
      <c r="D4" t="s">
        <v>34</v>
      </c>
      <c r="E4" t="s">
        <v>39</v>
      </c>
      <c r="F4" t="s">
        <v>45</v>
      </c>
      <c r="G4" t="s">
        <v>61</v>
      </c>
      <c r="J4" t="str">
        <f t="shared" ref="J4:O4" si="0">B4</f>
        <v>PROD_ID_01</v>
      </c>
      <c r="K4" t="str">
        <f t="shared" si="0"/>
        <v>PROD_ID_02</v>
      </c>
      <c r="L4" t="str">
        <f t="shared" si="0"/>
        <v>PROD_ID_03</v>
      </c>
      <c r="M4" t="str">
        <f t="shared" si="0"/>
        <v>PROD_ID_04</v>
      </c>
      <c r="N4" t="str">
        <f t="shared" si="0"/>
        <v>PROD_ID_05</v>
      </c>
      <c r="O4" t="str">
        <f t="shared" si="0"/>
        <v>PROD_ID_06</v>
      </c>
    </row>
    <row r="5" spans="1:15" x14ac:dyDescent="0.25">
      <c r="A5" s="8" t="s">
        <v>18</v>
      </c>
      <c r="B5" s="9">
        <v>313500</v>
      </c>
      <c r="C5" s="9">
        <v>695073.70000000007</v>
      </c>
      <c r="D5" s="9">
        <v>1349502.5</v>
      </c>
      <c r="E5" s="9">
        <v>1155770.8</v>
      </c>
      <c r="F5" s="9">
        <v>87596.22</v>
      </c>
      <c r="G5" s="9">
        <v>455944.95999999996</v>
      </c>
      <c r="J5">
        <f>GETPIVOTDATA("Sales",$A$3,"Product_ID","PROD_ID_01","Month",A5)</f>
        <v>313500</v>
      </c>
      <c r="K5">
        <f>GETPIVOTDATA("Sales",$A$3,"Product_ID","PROD_ID_02","Month",A5)</f>
        <v>695073.70000000007</v>
      </c>
      <c r="L5">
        <f>GETPIVOTDATA("Sales",$A$3,"Product_ID","PROD_ID_03","Month",A5)</f>
        <v>1349502.5</v>
      </c>
      <c r="M5">
        <f>GETPIVOTDATA("Sales",$A$3,"Product_ID","PROD_ID_04","Month",A5)</f>
        <v>1155770.8</v>
      </c>
      <c r="N5">
        <f>GETPIVOTDATA("Sales",$A$3,"Product_ID","PROD_ID_05","Month",A5)</f>
        <v>87596.22</v>
      </c>
      <c r="O5">
        <f>GETPIVOTDATA("Sales",$A$3,"Product_ID","PROD_ID_06","Month",A5)</f>
        <v>455944.95999999996</v>
      </c>
    </row>
    <row r="6" spans="1:15" x14ac:dyDescent="0.25">
      <c r="A6" s="8" t="s">
        <v>40</v>
      </c>
      <c r="B6" s="9">
        <v>82046.25</v>
      </c>
      <c r="C6" s="9">
        <v>680158.15</v>
      </c>
      <c r="D6" s="9">
        <v>241980.6</v>
      </c>
      <c r="E6" s="9">
        <v>1220376.5</v>
      </c>
      <c r="F6" s="9">
        <v>134007.64000000001</v>
      </c>
      <c r="G6" s="9">
        <v>239183</v>
      </c>
      <c r="J6">
        <f t="shared" ref="J6:J16" si="1">GETPIVOTDATA("Sales",$A$3,"Product_ID","PROD_ID_01","Month",A6)</f>
        <v>82046.25</v>
      </c>
      <c r="K6">
        <f t="shared" ref="K6:K16" si="2">GETPIVOTDATA("Sales",$A$3,"Product_ID","PROD_ID_02","Month",A6)</f>
        <v>680158.15</v>
      </c>
      <c r="L6">
        <f t="shared" ref="L6:L16" si="3">GETPIVOTDATA("Sales",$A$3,"Product_ID","PROD_ID_03","Month",A6)</f>
        <v>241980.6</v>
      </c>
      <c r="M6">
        <f t="shared" ref="M6:M16" si="4">GETPIVOTDATA("Sales",$A$3,"Product_ID","PROD_ID_04","Month",A6)</f>
        <v>1220376.5</v>
      </c>
      <c r="N6">
        <f t="shared" ref="N6:N16" si="5">GETPIVOTDATA("Sales",$A$3,"Product_ID","PROD_ID_05","Month",A6)</f>
        <v>134007.64000000001</v>
      </c>
      <c r="O6">
        <f t="shared" ref="O6:O16" si="6">GETPIVOTDATA("Sales",$A$3,"Product_ID","PROD_ID_06","Month",A6)</f>
        <v>239183</v>
      </c>
    </row>
    <row r="7" spans="1:15" x14ac:dyDescent="0.25">
      <c r="A7" s="8" t="s">
        <v>55</v>
      </c>
      <c r="B7" s="9">
        <v>399842.92</v>
      </c>
      <c r="C7" s="9">
        <v>75876.600000000006</v>
      </c>
      <c r="D7" s="9">
        <v>341083.75</v>
      </c>
      <c r="E7" s="9">
        <v>739195</v>
      </c>
      <c r="F7" s="9">
        <v>134521.68</v>
      </c>
      <c r="G7" s="9">
        <v>31336.67</v>
      </c>
      <c r="J7">
        <f t="shared" si="1"/>
        <v>399842.92</v>
      </c>
      <c r="K7">
        <f t="shared" si="2"/>
        <v>75876.600000000006</v>
      </c>
      <c r="L7">
        <f t="shared" si="3"/>
        <v>341083.75</v>
      </c>
      <c r="M7">
        <f t="shared" si="4"/>
        <v>739195</v>
      </c>
      <c r="N7">
        <f t="shared" si="5"/>
        <v>134521.68</v>
      </c>
      <c r="O7">
        <f t="shared" si="6"/>
        <v>31336.67</v>
      </c>
    </row>
    <row r="8" spans="1:15" x14ac:dyDescent="0.25">
      <c r="A8" s="8" t="s">
        <v>47</v>
      </c>
      <c r="B8" s="9">
        <v>653583.75</v>
      </c>
      <c r="C8" s="9">
        <v>451276.54000000004</v>
      </c>
      <c r="D8" s="9">
        <v>810136</v>
      </c>
      <c r="E8" s="9">
        <v>28299.75</v>
      </c>
      <c r="F8" s="9">
        <v>224462.66000000003</v>
      </c>
      <c r="G8" s="9">
        <v>700534</v>
      </c>
      <c r="J8">
        <f t="shared" si="1"/>
        <v>653583.75</v>
      </c>
      <c r="K8">
        <f t="shared" si="2"/>
        <v>451276.54000000004</v>
      </c>
      <c r="L8">
        <f t="shared" si="3"/>
        <v>810136</v>
      </c>
      <c r="M8">
        <f t="shared" si="4"/>
        <v>28299.75</v>
      </c>
      <c r="N8">
        <f t="shared" si="5"/>
        <v>224462.66000000003</v>
      </c>
      <c r="O8">
        <f t="shared" si="6"/>
        <v>700534</v>
      </c>
    </row>
    <row r="9" spans="1:15" x14ac:dyDescent="0.25">
      <c r="A9" s="8" t="s">
        <v>42</v>
      </c>
      <c r="B9" s="9">
        <v>643113.1</v>
      </c>
      <c r="C9" s="9">
        <v>710725.29</v>
      </c>
      <c r="D9" s="9">
        <v>355258.8</v>
      </c>
      <c r="E9" s="9">
        <v>1000341</v>
      </c>
      <c r="F9" s="9">
        <v>136756.4</v>
      </c>
      <c r="G9" s="9">
        <v>813091</v>
      </c>
      <c r="J9">
        <f t="shared" si="1"/>
        <v>643113.1</v>
      </c>
      <c r="K9">
        <f t="shared" si="2"/>
        <v>710725.29</v>
      </c>
      <c r="L9">
        <f t="shared" si="3"/>
        <v>355258.8</v>
      </c>
      <c r="M9">
        <f t="shared" si="4"/>
        <v>1000341</v>
      </c>
      <c r="N9">
        <f t="shared" si="5"/>
        <v>136756.4</v>
      </c>
      <c r="O9">
        <f t="shared" si="6"/>
        <v>813091</v>
      </c>
    </row>
    <row r="10" spans="1:15" x14ac:dyDescent="0.25">
      <c r="A10" s="8" t="s">
        <v>88</v>
      </c>
      <c r="B10" s="9">
        <v>87906</v>
      </c>
      <c r="C10" s="9">
        <v>909680.39</v>
      </c>
      <c r="D10" s="9">
        <v>707173.2</v>
      </c>
      <c r="E10" s="9">
        <v>853121.4</v>
      </c>
      <c r="F10" s="9">
        <v>148035.92000000001</v>
      </c>
      <c r="G10" s="9">
        <v>115552.5</v>
      </c>
      <c r="J10">
        <f t="shared" si="1"/>
        <v>87906</v>
      </c>
      <c r="K10">
        <f t="shared" si="2"/>
        <v>909680.39</v>
      </c>
      <c r="L10">
        <f t="shared" si="3"/>
        <v>707173.2</v>
      </c>
      <c r="M10">
        <f t="shared" si="4"/>
        <v>853121.4</v>
      </c>
      <c r="N10">
        <f t="shared" si="5"/>
        <v>148035.92000000001</v>
      </c>
      <c r="O10">
        <f t="shared" si="6"/>
        <v>115552.5</v>
      </c>
    </row>
    <row r="11" spans="1:15" x14ac:dyDescent="0.25">
      <c r="A11" s="8" t="s">
        <v>29</v>
      </c>
      <c r="B11" s="9">
        <v>332262.71999999997</v>
      </c>
      <c r="C11" s="9">
        <v>117848.48</v>
      </c>
      <c r="D11" s="9">
        <v>33406.6</v>
      </c>
      <c r="E11" s="9">
        <v>848953.67999999993</v>
      </c>
      <c r="F11" s="9">
        <v>303257.5</v>
      </c>
      <c r="G11" s="9">
        <v>1022104.85</v>
      </c>
      <c r="J11">
        <f t="shared" si="1"/>
        <v>332262.71999999997</v>
      </c>
      <c r="K11">
        <f t="shared" si="2"/>
        <v>117848.48</v>
      </c>
      <c r="L11">
        <f t="shared" si="3"/>
        <v>33406.6</v>
      </c>
      <c r="M11">
        <f t="shared" si="4"/>
        <v>848953.67999999993</v>
      </c>
      <c r="N11">
        <f t="shared" si="5"/>
        <v>303257.5</v>
      </c>
      <c r="O11">
        <f t="shared" si="6"/>
        <v>1022104.85</v>
      </c>
    </row>
    <row r="12" spans="1:15" x14ac:dyDescent="0.25">
      <c r="A12" s="8" t="s">
        <v>25</v>
      </c>
      <c r="B12" s="9">
        <v>361815.35</v>
      </c>
      <c r="C12" s="9">
        <v>636781.6</v>
      </c>
      <c r="D12" s="9">
        <v>679905</v>
      </c>
      <c r="E12" s="9">
        <v>373576.5</v>
      </c>
      <c r="F12" s="9">
        <v>171307.3</v>
      </c>
      <c r="G12" s="9">
        <v>717039.3</v>
      </c>
      <c r="J12">
        <f t="shared" si="1"/>
        <v>361815.35</v>
      </c>
      <c r="K12">
        <f t="shared" si="2"/>
        <v>636781.6</v>
      </c>
      <c r="L12">
        <f t="shared" si="3"/>
        <v>679905</v>
      </c>
      <c r="M12">
        <f t="shared" si="4"/>
        <v>373576.5</v>
      </c>
      <c r="N12">
        <f t="shared" si="5"/>
        <v>171307.3</v>
      </c>
      <c r="O12">
        <f t="shared" si="6"/>
        <v>717039.3</v>
      </c>
    </row>
    <row r="13" spans="1:15" x14ac:dyDescent="0.25">
      <c r="A13" s="8" t="s">
        <v>12</v>
      </c>
      <c r="B13" s="9">
        <v>52356.74</v>
      </c>
      <c r="C13" s="9">
        <v>749363.3</v>
      </c>
      <c r="D13" s="9">
        <v>1380417</v>
      </c>
      <c r="E13" s="9">
        <v>78192.600000000006</v>
      </c>
      <c r="F13" s="9">
        <v>500000</v>
      </c>
      <c r="G13" s="9">
        <v>9231.74</v>
      </c>
      <c r="J13">
        <f t="shared" si="1"/>
        <v>52356.74</v>
      </c>
      <c r="K13">
        <f t="shared" si="2"/>
        <v>749363.3</v>
      </c>
      <c r="L13">
        <f t="shared" si="3"/>
        <v>1380417</v>
      </c>
      <c r="M13">
        <f t="shared" si="4"/>
        <v>78192.600000000006</v>
      </c>
      <c r="N13">
        <f t="shared" si="5"/>
        <v>500000</v>
      </c>
      <c r="O13">
        <f t="shared" si="6"/>
        <v>9231.74</v>
      </c>
    </row>
    <row r="14" spans="1:15" x14ac:dyDescent="0.25">
      <c r="A14" s="8" t="s">
        <v>57</v>
      </c>
      <c r="B14" s="9">
        <v>203350</v>
      </c>
      <c r="C14" s="9">
        <v>721196</v>
      </c>
      <c r="D14" s="9">
        <v>92797.81</v>
      </c>
      <c r="E14" s="9">
        <v>113941</v>
      </c>
      <c r="F14" s="9">
        <v>44714.7</v>
      </c>
      <c r="G14" s="9">
        <v>259836.85</v>
      </c>
      <c r="J14">
        <f t="shared" si="1"/>
        <v>203350</v>
      </c>
      <c r="K14">
        <f t="shared" si="2"/>
        <v>721196</v>
      </c>
      <c r="L14">
        <f t="shared" si="3"/>
        <v>92797.81</v>
      </c>
      <c r="M14">
        <f t="shared" si="4"/>
        <v>113941</v>
      </c>
      <c r="N14">
        <f t="shared" si="5"/>
        <v>44714.7</v>
      </c>
      <c r="O14">
        <f t="shared" si="6"/>
        <v>259836.85</v>
      </c>
    </row>
    <row r="15" spans="1:15" x14ac:dyDescent="0.25">
      <c r="A15" s="8" t="s">
        <v>43</v>
      </c>
      <c r="B15" s="9">
        <v>20658.61</v>
      </c>
      <c r="C15" s="9">
        <v>27464.36</v>
      </c>
      <c r="D15" s="9">
        <v>205638.5</v>
      </c>
      <c r="E15" s="9">
        <v>1104826</v>
      </c>
      <c r="F15" s="9">
        <v>412478</v>
      </c>
      <c r="G15" s="9">
        <v>37861.06</v>
      </c>
      <c r="J15">
        <f t="shared" si="1"/>
        <v>20658.61</v>
      </c>
      <c r="K15">
        <f t="shared" si="2"/>
        <v>27464.36</v>
      </c>
      <c r="L15">
        <f t="shared" si="3"/>
        <v>205638.5</v>
      </c>
      <c r="M15">
        <f t="shared" si="4"/>
        <v>1104826</v>
      </c>
      <c r="N15">
        <f t="shared" si="5"/>
        <v>412478</v>
      </c>
      <c r="O15">
        <f t="shared" si="6"/>
        <v>37861.06</v>
      </c>
    </row>
    <row r="16" spans="1:15" x14ac:dyDescent="0.25">
      <c r="A16" s="8" t="s">
        <v>36</v>
      </c>
      <c r="B16" s="9">
        <v>825347.6</v>
      </c>
      <c r="C16" s="9">
        <v>139302.68</v>
      </c>
      <c r="D16" s="9">
        <v>994875</v>
      </c>
      <c r="E16" s="9">
        <v>300000</v>
      </c>
      <c r="F16" s="9">
        <v>39727.840000000004</v>
      </c>
      <c r="G16" s="9">
        <v>631041.6</v>
      </c>
      <c r="J16">
        <f t="shared" si="1"/>
        <v>825347.6</v>
      </c>
      <c r="K16">
        <f t="shared" si="2"/>
        <v>139302.68</v>
      </c>
      <c r="L16">
        <f t="shared" si="3"/>
        <v>994875</v>
      </c>
      <c r="M16">
        <f t="shared" si="4"/>
        <v>300000</v>
      </c>
      <c r="N16">
        <f t="shared" si="5"/>
        <v>39727.840000000004</v>
      </c>
      <c r="O16">
        <f t="shared" si="6"/>
        <v>631041.6</v>
      </c>
    </row>
    <row r="20" spans="1:5" x14ac:dyDescent="0.25">
      <c r="A20" s="7" t="s">
        <v>152</v>
      </c>
      <c r="B20" t="s">
        <v>151</v>
      </c>
      <c r="C20" t="s">
        <v>159</v>
      </c>
      <c r="D20" s="17" t="s">
        <v>160</v>
      </c>
      <c r="E20" s="17" t="s">
        <v>161</v>
      </c>
    </row>
    <row r="21" spans="1:5" x14ac:dyDescent="0.25">
      <c r="A21" s="8" t="s">
        <v>11</v>
      </c>
      <c r="B21" s="9">
        <v>3975783.0400000005</v>
      </c>
      <c r="C21" s="9">
        <v>1590308.0400000003</v>
      </c>
      <c r="D21" s="19">
        <f>GETPIVOTDATA("Sum of Gross Profit",$A$20,"Product_ID","PROD_ID_01")/GETPIVOTDATA("Sum of Sales",$A$20,"Product_ID","PROD_ID_01")</f>
        <v>0.39999869811809452</v>
      </c>
      <c r="E21" s="20">
        <f>1-D21</f>
        <v>0.60000130188190548</v>
      </c>
    </row>
    <row r="22" spans="1:5" x14ac:dyDescent="0.25">
      <c r="A22" s="8" t="s">
        <v>17</v>
      </c>
      <c r="B22" s="9">
        <v>5914747.0900000008</v>
      </c>
      <c r="C22" s="9">
        <v>2957373.0900000008</v>
      </c>
      <c r="D22" s="19">
        <f>GETPIVOTDATA("Sum of Gross Profit",$A$20,"Product_ID","PROD_ID_02")/GETPIVOTDATA("Sum of Sales",$A$20,"Product_ID","PROD_ID_02")</f>
        <v>0.49999992307363395</v>
      </c>
      <c r="E22" s="20">
        <f t="shared" ref="E22:E26" si="7">1-D22</f>
        <v>0.50000007692636605</v>
      </c>
    </row>
    <row r="23" spans="1:5" x14ac:dyDescent="0.25">
      <c r="A23" s="8" t="s">
        <v>34</v>
      </c>
      <c r="B23" s="9">
        <v>7192174.7599999998</v>
      </c>
      <c r="C23" s="9">
        <v>4315304.76</v>
      </c>
      <c r="D23" s="19">
        <f>GETPIVOTDATA("Sum of Gross Profit",$A$20,"Product_ID","PROD_ID_03")/GETPIVOTDATA("Sum of Sales",$A$20,"Product_ID","PROD_ID_03")</f>
        <v>0.5999999866521597</v>
      </c>
      <c r="E23" s="20">
        <f t="shared" si="7"/>
        <v>0.4000000133478403</v>
      </c>
    </row>
    <row r="24" spans="1:5" x14ac:dyDescent="0.25">
      <c r="A24" s="8" t="s">
        <v>39</v>
      </c>
      <c r="B24" s="9">
        <v>7816594.2300000014</v>
      </c>
      <c r="C24" s="9">
        <v>5471616.2300000004</v>
      </c>
      <c r="D24" s="19">
        <f>GETPIVOTDATA("Sum of Gross Profit",$A$20,"Product_ID","PROD_ID_04")/GETPIVOTDATA("Sum of Sales",$A$20,"Product_ID","PROD_ID_04")</f>
        <v>0.70000003441396486</v>
      </c>
      <c r="E24" s="20">
        <f t="shared" si="7"/>
        <v>0.29999996558603514</v>
      </c>
    </row>
    <row r="25" spans="1:5" x14ac:dyDescent="0.25">
      <c r="A25" s="8" t="s">
        <v>45</v>
      </c>
      <c r="B25" s="9">
        <v>2336865.8599999994</v>
      </c>
      <c r="C25" s="9">
        <v>1752649.8599999999</v>
      </c>
      <c r="D25" s="19">
        <f>GETPIVOTDATA("Sum of Gross Profit",$A$20,"Product_ID","PROD_ID_05")/GETPIVOTDATA("Sum of Sales",$A$20,"Product_ID","PROD_ID_05")</f>
        <v>0.75000019898446391</v>
      </c>
      <c r="E25" s="20">
        <f t="shared" si="7"/>
        <v>0.24999980101553609</v>
      </c>
    </row>
    <row r="26" spans="1:5" x14ac:dyDescent="0.25">
      <c r="A26" s="8" t="s">
        <v>61</v>
      </c>
      <c r="B26" s="9">
        <v>5032757.5299999993</v>
      </c>
      <c r="C26" s="9">
        <v>4026206.2300000004</v>
      </c>
      <c r="D26" s="19">
        <f>GETPIVOTDATA("Sum of Gross Profit",$A$20,"Product_ID","PROD_ID_06")/GETPIVOTDATA("Sum of Sales",$A$20,"Product_ID","PROD_ID_06")</f>
        <v>0.80000004093183508</v>
      </c>
      <c r="E26" s="20">
        <f t="shared" si="7"/>
        <v>0.19999995906816492</v>
      </c>
    </row>
    <row r="33" spans="1:6" x14ac:dyDescent="0.25">
      <c r="A33" s="7" t="s">
        <v>162</v>
      </c>
      <c r="B33" s="7" t="s">
        <v>150</v>
      </c>
    </row>
    <row r="34" spans="1:6" x14ac:dyDescent="0.25">
      <c r="A34" s="7" t="s">
        <v>152</v>
      </c>
      <c r="B34" t="s">
        <v>37</v>
      </c>
      <c r="C34" t="s">
        <v>23</v>
      </c>
      <c r="D34" t="s">
        <v>27</v>
      </c>
      <c r="E34" t="s">
        <v>59</v>
      </c>
      <c r="F34" t="s">
        <v>15</v>
      </c>
    </row>
    <row r="35" spans="1:6" x14ac:dyDescent="0.25">
      <c r="A35" s="8" t="s">
        <v>11</v>
      </c>
      <c r="B35" s="20">
        <v>8.3333333333333329E-2</v>
      </c>
      <c r="C35" s="20">
        <v>0.1111111111111111</v>
      </c>
      <c r="D35" s="20">
        <v>0.16666666666666666</v>
      </c>
      <c r="E35" s="20">
        <v>0.1</v>
      </c>
      <c r="F35" s="20">
        <v>0.12698412698412698</v>
      </c>
    </row>
    <row r="36" spans="1:6" x14ac:dyDescent="0.25">
      <c r="A36" s="8" t="s">
        <v>17</v>
      </c>
      <c r="B36" s="20">
        <v>0.33333333333333331</v>
      </c>
      <c r="C36" s="20">
        <v>0.29629629629629628</v>
      </c>
      <c r="D36" s="20">
        <v>0.25</v>
      </c>
      <c r="E36" s="20">
        <v>0.3</v>
      </c>
      <c r="F36" s="20">
        <v>0.26984126984126983</v>
      </c>
    </row>
    <row r="37" spans="1:6" x14ac:dyDescent="0.25">
      <c r="A37" s="8" t="s">
        <v>34</v>
      </c>
      <c r="B37" s="20">
        <v>8.3333333333333329E-2</v>
      </c>
      <c r="C37" s="20">
        <v>0.22222222222222221</v>
      </c>
      <c r="D37" s="20">
        <v>0.125</v>
      </c>
      <c r="E37" s="20">
        <v>0.15</v>
      </c>
      <c r="F37" s="20">
        <v>0.17460317460317459</v>
      </c>
    </row>
    <row r="38" spans="1:6" x14ac:dyDescent="0.25">
      <c r="A38" s="8" t="s">
        <v>39</v>
      </c>
      <c r="B38" s="20">
        <v>0.16666666666666666</v>
      </c>
      <c r="C38" s="20">
        <v>0.1111111111111111</v>
      </c>
      <c r="D38" s="20">
        <v>0.1875</v>
      </c>
      <c r="E38" s="20">
        <v>0.1</v>
      </c>
      <c r="F38" s="20">
        <v>0.20634920634920634</v>
      </c>
    </row>
    <row r="39" spans="1:6" x14ac:dyDescent="0.25">
      <c r="A39" s="8" t="s">
        <v>45</v>
      </c>
      <c r="B39" s="20">
        <v>0.20833333333333334</v>
      </c>
      <c r="C39" s="20">
        <v>0.14814814814814814</v>
      </c>
      <c r="D39" s="20">
        <v>0.125</v>
      </c>
      <c r="E39" s="20">
        <v>0.1</v>
      </c>
      <c r="F39" s="20">
        <v>0.1111111111111111</v>
      </c>
    </row>
    <row r="40" spans="1:6" x14ac:dyDescent="0.25">
      <c r="A40" s="8" t="s">
        <v>61</v>
      </c>
      <c r="B40" s="20">
        <v>0.125</v>
      </c>
      <c r="C40" s="20">
        <v>0.1111111111111111</v>
      </c>
      <c r="D40" s="20">
        <v>0.14583333333333334</v>
      </c>
      <c r="E40" s="20">
        <v>0.25</v>
      </c>
      <c r="F40" s="20">
        <v>0.1111111111111111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98101-8248-434E-957B-6760D71807D5}">
  <dimension ref="B12:R31"/>
  <sheetViews>
    <sheetView showGridLines="0" tabSelected="1" zoomScale="52" zoomScaleNormal="144" workbookViewId="0">
      <selection activeCell="L27" sqref="L27"/>
    </sheetView>
  </sheetViews>
  <sheetFormatPr defaultRowHeight="15" x14ac:dyDescent="0.25"/>
  <cols>
    <col min="2" max="2" width="14.28515625" bestFit="1" customWidth="1"/>
    <col min="3" max="8" width="12.5703125" bestFit="1" customWidth="1"/>
  </cols>
  <sheetData>
    <row r="12" spans="18:18" x14ac:dyDescent="0.25">
      <c r="R12" s="17"/>
    </row>
    <row r="25" spans="2:11" x14ac:dyDescent="0.25">
      <c r="C25" s="10" t="str">
        <f>'Pivot Table'!J4</f>
        <v>PROD_ID_01</v>
      </c>
      <c r="D25" s="11" t="str">
        <f>'Pivot Table'!K4</f>
        <v>PROD_ID_02</v>
      </c>
      <c r="E25" s="12" t="str">
        <f>'Pivot Table'!L4</f>
        <v>PROD_ID_03</v>
      </c>
      <c r="F25" s="13" t="str">
        <f>'Pivot Table'!M4</f>
        <v>PROD_ID_04</v>
      </c>
      <c r="G25" s="14" t="str">
        <f>'Pivot Table'!N4</f>
        <v>PROD_ID_05</v>
      </c>
      <c r="H25" s="15" t="str">
        <f>'Pivot Table'!O4</f>
        <v>PROD_ID_06</v>
      </c>
      <c r="K25" t="s">
        <v>163</v>
      </c>
    </row>
    <row r="26" spans="2:11" ht="15.75" x14ac:dyDescent="0.25">
      <c r="B26" s="18" t="s">
        <v>153</v>
      </c>
      <c r="C26" s="16">
        <f>AVERAGE('Pivot Table'!J5:J16)</f>
        <v>331315.25333333336</v>
      </c>
      <c r="D26" s="16">
        <f>AVERAGE('Pivot Table'!K5:K16)</f>
        <v>492895.59083333332</v>
      </c>
      <c r="E26" s="16">
        <f>AVERAGE('Pivot Table'!L5:L16)</f>
        <v>599347.89666666661</v>
      </c>
      <c r="F26" s="16">
        <f>AVERAGE('Pivot Table'!M5:M16)</f>
        <v>651382.85249999992</v>
      </c>
      <c r="G26" s="16">
        <f>AVERAGE('Pivot Table'!N5:N16)</f>
        <v>194738.82166666666</v>
      </c>
      <c r="H26" s="16">
        <f>AVERAGE('Pivot Table'!O5:O16)</f>
        <v>419396.46083333326</v>
      </c>
      <c r="K26" t="s">
        <v>164</v>
      </c>
    </row>
    <row r="27" spans="2:11" ht="15.75" x14ac:dyDescent="0.25">
      <c r="B27" s="18" t="s">
        <v>154</v>
      </c>
      <c r="C27" s="16">
        <f>MEDIAN('Pivot Table'!J5:J16)</f>
        <v>322881.36</v>
      </c>
      <c r="D27" s="16">
        <f>MEDIAN('Pivot Table'!K5:K16)</f>
        <v>658469.875</v>
      </c>
      <c r="E27" s="16">
        <f>MEDIAN('Pivot Table'!L5:L16)</f>
        <v>517581.9</v>
      </c>
      <c r="F27" s="16">
        <f>MEDIAN('Pivot Table'!M5:M16)</f>
        <v>794074.34</v>
      </c>
      <c r="G27" s="16">
        <f>MEDIAN('Pivot Table'!N5:N16)</f>
        <v>142396.16</v>
      </c>
      <c r="H27" s="16">
        <f>MEDIAN('Pivot Table'!O5:O16)</f>
        <v>357890.90499999997</v>
      </c>
    </row>
    <row r="28" spans="2:11" ht="15.75" x14ac:dyDescent="0.25">
      <c r="B28" s="18" t="s">
        <v>155</v>
      </c>
      <c r="C28" s="16">
        <f>MAX('Pivot Table'!J5:J16)</f>
        <v>825347.6</v>
      </c>
      <c r="D28" s="16">
        <f>MAX('Pivot Table'!K5:K16)</f>
        <v>909680.39</v>
      </c>
      <c r="E28" s="16">
        <f>MAX('Pivot Table'!L5:L16)</f>
        <v>1380417</v>
      </c>
      <c r="F28" s="16">
        <f>MAX('Pivot Table'!M5:M16)</f>
        <v>1220376.5</v>
      </c>
      <c r="G28" s="16">
        <f>MAX('Pivot Table'!N5:N16)</f>
        <v>500000</v>
      </c>
      <c r="H28" s="16">
        <f>MAX('Pivot Table'!O5:O16)</f>
        <v>1022104.85</v>
      </c>
    </row>
    <row r="29" spans="2:11" ht="15.75" x14ac:dyDescent="0.25">
      <c r="B29" s="18" t="s">
        <v>156</v>
      </c>
      <c r="C29" s="16">
        <f>MIN('Pivot Table'!J5:J16)</f>
        <v>20658.61</v>
      </c>
      <c r="D29" s="16">
        <f>MIN('Pivot Table'!K5:K16)</f>
        <v>27464.36</v>
      </c>
      <c r="E29" s="16">
        <f>MIN('Pivot Table'!L5:L16)</f>
        <v>33406.6</v>
      </c>
      <c r="F29" s="16">
        <f>MIN('Pivot Table'!M5:M16)</f>
        <v>28299.75</v>
      </c>
      <c r="G29" s="16">
        <f>MIN('Pivot Table'!N5:N16)</f>
        <v>39727.840000000004</v>
      </c>
      <c r="H29" s="16">
        <f>MIN('Pivot Table'!O5:O16)</f>
        <v>9231.74</v>
      </c>
    </row>
    <row r="30" spans="2:11" ht="15.75" x14ac:dyDescent="0.25">
      <c r="B30" s="18" t="s">
        <v>157</v>
      </c>
      <c r="C30" s="16">
        <f>_xlfn.QUARTILE.EXC('Pivot Table'!J5:J16,1)</f>
        <v>83511.1875</v>
      </c>
      <c r="D30" s="16">
        <f>_xlfn.QUARTILE.EXC('Pivot Table'!K5:K16,1)</f>
        <v>123212.03</v>
      </c>
      <c r="E30" s="16">
        <f>_xlfn.QUARTILE.EXC('Pivot Table'!L5:L16,1)</f>
        <v>214724.02499999999</v>
      </c>
      <c r="F30" s="16">
        <f>_xlfn.QUARTILE.EXC('Pivot Table'!M5:M16,1)</f>
        <v>160455.75</v>
      </c>
      <c r="G30" s="16">
        <f>_xlfn.QUARTILE.EXC('Pivot Table'!N5:N16,1)</f>
        <v>99199.075000000012</v>
      </c>
      <c r="H30" s="16">
        <f>_xlfn.QUARTILE.EXC('Pivot Table'!O5:O16,1)</f>
        <v>57283.92</v>
      </c>
    </row>
    <row r="31" spans="2:11" ht="15.75" x14ac:dyDescent="0.25">
      <c r="B31" s="18" t="s">
        <v>158</v>
      </c>
      <c r="C31" s="16">
        <f>_xlfn.QUARTILE.EXC('Pivot Table'!J5:J16,3)</f>
        <v>582295.55499999993</v>
      </c>
      <c r="D31" s="16">
        <f>_xlfn.QUARTILE.EXC('Pivot Table'!K5:K16,3)</f>
        <v>718578.32250000001</v>
      </c>
      <c r="E31" s="16">
        <f>_xlfn.QUARTILE.EXC('Pivot Table'!L5:L16,3)</f>
        <v>948690.25</v>
      </c>
      <c r="F31" s="16">
        <f>_xlfn.QUARTILE.EXC('Pivot Table'!M5:M16,3)</f>
        <v>1078704.75</v>
      </c>
      <c r="G31" s="16">
        <f>_xlfn.QUARTILE.EXC('Pivot Table'!N5:N16,3)</f>
        <v>283558.79000000004</v>
      </c>
      <c r="H31" s="16">
        <f>_xlfn.QUARTILE.EXC('Pivot Table'!O5:O16,3)</f>
        <v>712912.97500000009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Pivot Table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Gagan Deep Sharma</dc:creator>
  <cp:lastModifiedBy>Maira Nawaz</cp:lastModifiedBy>
  <dcterms:created xsi:type="dcterms:W3CDTF">2024-05-23T03:07:42Z</dcterms:created>
  <dcterms:modified xsi:type="dcterms:W3CDTF">2025-02-11T17:42:54Z</dcterms:modified>
</cp:coreProperties>
</file>